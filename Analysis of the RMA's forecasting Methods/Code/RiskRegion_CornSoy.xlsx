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17203\Documents\W&amp;Aphase2\"/>
    </mc:Choice>
  </mc:AlternateContent>
  <xr:revisionPtr revIDLastSave="0" documentId="13_ncr:1_{9AD13B8C-CBBE-4790-80A4-AFC5FCF409D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rn rr504 dry" sheetId="1" r:id="rId1"/>
    <sheet name="Corn rr508 dry" sheetId="2" r:id="rId2"/>
    <sheet name="Soy rr766 dry" sheetId="5" r:id="rId3"/>
    <sheet name="soy rr660 dry" sheetId="7" r:id="rId4"/>
    <sheet name="Sheet1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 a="1"/>
  <c r="E33" i="1"/>
  <c r="E34" i="1" a="1"/>
  <c r="E34" i="1" s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32" i="1" a="1"/>
  <c r="E32" i="1"/>
  <c r="E31" i="1" a="1"/>
  <c r="E31" i="1" s="1"/>
  <c r="H36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4" i="2"/>
  <c r="G35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" i="2"/>
  <c r="F3" i="2"/>
  <c r="F34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<sst xmlns="http://schemas.openxmlformats.org/spreadsheetml/2006/main" count="12" uniqueCount="4">
  <si>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yr</t>
  </si>
  <si>
    <t>ObservedValue</t>
  </si>
  <si>
    <t>ave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</si>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</sst>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rr504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rr504 dry'!$A$2:$A$77</c:f>
              <c:numCache>
                <c:formatCode>General</c:formatCode>
                <c:ptCount val="7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</c:numCache>
            </c:numRef>
          </c:cat>
          <c:val>
            <c:numRef>
              <c:f>'Corn rr504 dry'!$B$2:$B$77</c:f>
              <c:numCache>
                <c:formatCode>General</c:formatCode>
                <c:ptCount val="76"/>
                <c:pt idx="0">
                  <c:v>25.824250483558998</c:v>
                </c:pt>
                <c:pt idx="1">
                  <c:v>60.8824375509421</c:v>
                </c:pt>
                <c:pt idx="2">
                  <c:v>42.7845391337029</c:v>
                </c:pt>
                <c:pt idx="3">
                  <c:v>48.563571269982198</c:v>
                </c:pt>
                <c:pt idx="4">
                  <c:v>45.504946203661198</c:v>
                </c:pt>
                <c:pt idx="5">
                  <c:v>64.070596477181795</c:v>
                </c:pt>
                <c:pt idx="6">
                  <c:v>55.357224931202602</c:v>
                </c:pt>
                <c:pt idx="7">
                  <c:v>55.173894110774803</c:v>
                </c:pt>
                <c:pt idx="8">
                  <c:v>51.5161116577762</c:v>
                </c:pt>
                <c:pt idx="9">
                  <c:v>47.680220485925297</c:v>
                </c:pt>
                <c:pt idx="10">
                  <c:v>64.531012761335901</c:v>
                </c:pt>
                <c:pt idx="11">
                  <c:v>70.475370209059193</c:v>
                </c:pt>
                <c:pt idx="12">
                  <c:v>70.095089151450097</c:v>
                </c:pt>
                <c:pt idx="13">
                  <c:v>65.149809233934903</c:v>
                </c:pt>
                <c:pt idx="14">
                  <c:v>77.184696230360899</c:v>
                </c:pt>
                <c:pt idx="15">
                  <c:v>79.590623644251593</c:v>
                </c:pt>
                <c:pt idx="16">
                  <c:v>83.151539338654501</c:v>
                </c:pt>
                <c:pt idx="17">
                  <c:v>83.991476730626502</c:v>
                </c:pt>
                <c:pt idx="18">
                  <c:v>83.177475027456694</c:v>
                </c:pt>
                <c:pt idx="19">
                  <c:v>92.192820832036503</c:v>
                </c:pt>
                <c:pt idx="20">
                  <c:v>92.189087356963398</c:v>
                </c:pt>
                <c:pt idx="21">
                  <c:v>103.717473935708</c:v>
                </c:pt>
                <c:pt idx="22">
                  <c:v>96.427841862983996</c:v>
                </c:pt>
                <c:pt idx="23">
                  <c:v>98.269904373052498</c:v>
                </c:pt>
                <c:pt idx="24">
                  <c:v>107.245730694385</c:v>
                </c:pt>
                <c:pt idx="25">
                  <c:v>123.52516142579699</c:v>
                </c:pt>
                <c:pt idx="26">
                  <c:v>112.355746047431</c:v>
                </c:pt>
                <c:pt idx="27">
                  <c:v>94.909668629691495</c:v>
                </c:pt>
                <c:pt idx="28">
                  <c:v>98.731847974123298</c:v>
                </c:pt>
                <c:pt idx="29">
                  <c:v>100.37302720033099</c:v>
                </c:pt>
                <c:pt idx="30">
                  <c:v>71.678645525849703</c:v>
                </c:pt>
                <c:pt idx="31">
                  <c:v>117.784879282988</c:v>
                </c:pt>
                <c:pt idx="32">
                  <c:v>135.57440812683299</c:v>
                </c:pt>
                <c:pt idx="33">
                  <c:v>119.091547075902</c:v>
                </c:pt>
                <c:pt idx="34">
                  <c:v>132.9814013267</c:v>
                </c:pt>
                <c:pt idx="35">
                  <c:v>128.229054553358</c:v>
                </c:pt>
                <c:pt idx="36">
                  <c:v>106.92529190850099</c:v>
                </c:pt>
                <c:pt idx="37">
                  <c:v>115.381907894737</c:v>
                </c:pt>
                <c:pt idx="38">
                  <c:v>130.73483904920599</c:v>
                </c:pt>
                <c:pt idx="39">
                  <c:v>138.79576034152799</c:v>
                </c:pt>
                <c:pt idx="40">
                  <c:v>142.06826857917301</c:v>
                </c:pt>
                <c:pt idx="41">
                  <c:v>90.529868273256398</c:v>
                </c:pt>
                <c:pt idx="42">
                  <c:v>126.703786481989</c:v>
                </c:pt>
                <c:pt idx="43">
                  <c:v>127.32240414205801</c:v>
                </c:pt>
                <c:pt idx="44">
                  <c:v>128.215616233757</c:v>
                </c:pt>
                <c:pt idx="45">
                  <c:v>164.64612941412801</c:v>
                </c:pt>
                <c:pt idx="46">
                  <c:v>82.061389045778895</c:v>
                </c:pt>
                <c:pt idx="47">
                  <c:v>159.541179341749</c:v>
                </c:pt>
                <c:pt idx="48">
                  <c:v>140.68239342105201</c:v>
                </c:pt>
                <c:pt idx="49">
                  <c:v>152.89416102990401</c:v>
                </c:pt>
                <c:pt idx="50">
                  <c:v>143.302050391356</c:v>
                </c:pt>
                <c:pt idx="51">
                  <c:v>148.39008525802501</c:v>
                </c:pt>
                <c:pt idx="52">
                  <c:v>152.42181052973501</c:v>
                </c:pt>
                <c:pt idx="53">
                  <c:v>153.414970820695</c:v>
                </c:pt>
                <c:pt idx="54">
                  <c:v>154.27525701691101</c:v>
                </c:pt>
                <c:pt idx="55">
                  <c:v>178.18626954565499</c:v>
                </c:pt>
                <c:pt idx="56">
                  <c:v>171.594522316526</c:v>
                </c:pt>
                <c:pt idx="57">
                  <c:v>190.42022206016799</c:v>
                </c:pt>
                <c:pt idx="58">
                  <c:v>189.05382598902401</c:v>
                </c:pt>
                <c:pt idx="59">
                  <c:v>181.84203700395901</c:v>
                </c:pt>
                <c:pt idx="60">
                  <c:v>181.04519133653</c:v>
                </c:pt>
                <c:pt idx="61">
                  <c:v>163.87995221683499</c:v>
                </c:pt>
                <c:pt idx="62">
                  <c:v>176.75017191728401</c:v>
                </c:pt>
                <c:pt idx="63">
                  <c:v>167.44362014206601</c:v>
                </c:pt>
                <c:pt idx="64">
                  <c:v>183.58523178869501</c:v>
                </c:pt>
                <c:pt idx="65">
                  <c:v>149.91343279003701</c:v>
                </c:pt>
                <c:pt idx="66">
                  <c:v>157.20067010425399</c:v>
                </c:pt>
                <c:pt idx="67">
                  <c:v>175.76545632403301</c:v>
                </c:pt>
                <c:pt idx="68">
                  <c:v>202.50031648977</c:v>
                </c:pt>
                <c:pt idx="69">
                  <c:v>210.89624731698501</c:v>
                </c:pt>
                <c:pt idx="70">
                  <c:v>210.674284285477</c:v>
                </c:pt>
                <c:pt idx="71">
                  <c:v>205.24261581167099</c:v>
                </c:pt>
                <c:pt idx="72">
                  <c:v>207.769125420226</c:v>
                </c:pt>
                <c:pt idx="73">
                  <c:v>161.60373582884401</c:v>
                </c:pt>
                <c:pt idx="74">
                  <c:v>214.38895525664401</c:v>
                </c:pt>
                <c:pt idx="75">
                  <c:v>215.81490210209799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3-4C26-873C-26971983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11103"/>
        <c:axId val="447004719"/>
      </c:lineChart>
      <c:catAx>
        <c:axId val="3389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04719"/>
        <c:crosses val="autoZero"/>
        <c:auto val="1"/>
        <c:lblAlgn val="ctr"/>
        <c:lblOffset val="100"/>
        <c:noMultiLvlLbl val="0"/>
      </c:catAx>
      <c:valAx>
        <c:axId val="4470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'Corn rr508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'Corn rr508 dry'!$A$2:$A$77</c:f>
              <c:strCache>
                <c:ptCount val="7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 </c:v>
                </c:pt>
              </c:strCache>
            </c:strRef>
          </c:xVal>
          <c:yVal>
            <c:numRef>
              <c:f>'Corn rr508 dry'!$B$2:$B$77</c:f>
              <c:numCache>
                <c:formatCode>General</c:formatCode>
                <c:ptCount val="76"/>
                <c:pt idx="0">
                  <c:v>33.030642201834901</c:v>
                </c:pt>
                <c:pt idx="1">
                  <c:v>56.110926365795699</c:v>
                </c:pt>
                <c:pt idx="2">
                  <c:v>43.709413442681402</c:v>
                </c:pt>
                <c:pt idx="3">
                  <c:v>40.816612772837502</c:v>
                </c:pt>
                <c:pt idx="4">
                  <c:v>36.700307101727397</c:v>
                </c:pt>
                <c:pt idx="5">
                  <c:v>55.481080045959402</c:v>
                </c:pt>
                <c:pt idx="6">
                  <c:v>52.285158239359802</c:v>
                </c:pt>
                <c:pt idx="7">
                  <c:v>53.667816318486402</c:v>
                </c:pt>
                <c:pt idx="8">
                  <c:v>38.6966152688981</c:v>
                </c:pt>
                <c:pt idx="9">
                  <c:v>24.492573402418</c:v>
                </c:pt>
                <c:pt idx="10">
                  <c:v>54.030068520757801</c:v>
                </c:pt>
                <c:pt idx="11">
                  <c:v>43.629369992716697</c:v>
                </c:pt>
                <c:pt idx="12">
                  <c:v>51.048000000000002</c:v>
                </c:pt>
                <c:pt idx="13">
                  <c:v>56.066055462948903</c:v>
                </c:pt>
                <c:pt idx="14">
                  <c:v>65.110295176385904</c:v>
                </c:pt>
                <c:pt idx="15">
                  <c:v>69.970258773484602</c:v>
                </c:pt>
                <c:pt idx="16">
                  <c:v>52.852513598153898</c:v>
                </c:pt>
                <c:pt idx="17">
                  <c:v>59.196071221211497</c:v>
                </c:pt>
                <c:pt idx="18">
                  <c:v>70.952993022401799</c:v>
                </c:pt>
                <c:pt idx="19">
                  <c:v>72.139247779906</c:v>
                </c:pt>
                <c:pt idx="20">
                  <c:v>76.243701845547406</c:v>
                </c:pt>
                <c:pt idx="21">
                  <c:v>68.553259005145804</c:v>
                </c:pt>
                <c:pt idx="22">
                  <c:v>96.212895662368098</c:v>
                </c:pt>
                <c:pt idx="23">
                  <c:v>53.726624153049002</c:v>
                </c:pt>
                <c:pt idx="24">
                  <c:v>86.257142857142895</c:v>
                </c:pt>
                <c:pt idx="25">
                  <c:v>110.54517784462899</c:v>
                </c:pt>
                <c:pt idx="26">
                  <c:v>102.920951302378</c:v>
                </c:pt>
                <c:pt idx="27">
                  <c:v>60.571625079974403</c:v>
                </c:pt>
                <c:pt idx="28">
                  <c:v>70.417605633802793</c:v>
                </c:pt>
                <c:pt idx="29">
                  <c:v>56.484349141382701</c:v>
                </c:pt>
                <c:pt idx="30">
                  <c:v>90.332788259958093</c:v>
                </c:pt>
                <c:pt idx="31">
                  <c:v>112.18538067818299</c:v>
                </c:pt>
                <c:pt idx="32">
                  <c:v>117.936704805492</c:v>
                </c:pt>
                <c:pt idx="33">
                  <c:v>98.259459034439402</c:v>
                </c:pt>
                <c:pt idx="34">
                  <c:v>109.322135861962</c:v>
                </c:pt>
                <c:pt idx="35">
                  <c:v>107.81793743890501</c:v>
                </c:pt>
                <c:pt idx="36">
                  <c:v>85.026084836665007</c:v>
                </c:pt>
                <c:pt idx="37">
                  <c:v>110.142531935801</c:v>
                </c:pt>
                <c:pt idx="38">
                  <c:v>123.854967413766</c:v>
                </c:pt>
                <c:pt idx="39">
                  <c:v>127.225539119587</c:v>
                </c:pt>
                <c:pt idx="40">
                  <c:v>117.653222873308</c:v>
                </c:pt>
                <c:pt idx="41">
                  <c:v>78.327536514118805</c:v>
                </c:pt>
                <c:pt idx="42">
                  <c:v>123.790955124847</c:v>
                </c:pt>
                <c:pt idx="43">
                  <c:v>123.286316696822</c:v>
                </c:pt>
                <c:pt idx="44">
                  <c:v>129.748691395104</c:v>
                </c:pt>
                <c:pt idx="45">
                  <c:v>147.859370013432</c:v>
                </c:pt>
                <c:pt idx="46">
                  <c:v>100.38538821302799</c:v>
                </c:pt>
                <c:pt idx="47">
                  <c:v>152.873056434783</c:v>
                </c:pt>
                <c:pt idx="48">
                  <c:v>125.794575129843</c:v>
                </c:pt>
                <c:pt idx="49">
                  <c:v>141.52852054789301</c:v>
                </c:pt>
                <c:pt idx="50">
                  <c:v>135.92843898421401</c:v>
                </c:pt>
                <c:pt idx="51">
                  <c:v>159.45629192925199</c:v>
                </c:pt>
                <c:pt idx="52">
                  <c:v>167.15945003818999</c:v>
                </c:pt>
                <c:pt idx="53">
                  <c:v>138.86116910850299</c:v>
                </c:pt>
                <c:pt idx="54">
                  <c:v>147.89588838621</c:v>
                </c:pt>
                <c:pt idx="55">
                  <c:v>161.79350521432599</c:v>
                </c:pt>
                <c:pt idx="56">
                  <c:v>166.13611242424801</c:v>
                </c:pt>
                <c:pt idx="57">
                  <c:v>193.94854802324801</c:v>
                </c:pt>
                <c:pt idx="58">
                  <c:v>182.56318567768599</c:v>
                </c:pt>
                <c:pt idx="59">
                  <c:v>158.730431074086</c:v>
                </c:pt>
                <c:pt idx="60">
                  <c:v>155.006716803025</c:v>
                </c:pt>
                <c:pt idx="61">
                  <c:v>202.36961839566101</c:v>
                </c:pt>
                <c:pt idx="62">
                  <c:v>204.477653675471</c:v>
                </c:pt>
                <c:pt idx="63">
                  <c:v>196.669163526197</c:v>
                </c:pt>
                <c:pt idx="64">
                  <c:v>179.976718566594</c:v>
                </c:pt>
                <c:pt idx="65">
                  <c:v>130.111365557927</c:v>
                </c:pt>
                <c:pt idx="66">
                  <c:v>193.98532318160301</c:v>
                </c:pt>
                <c:pt idx="67">
                  <c:v>182.25639665989399</c:v>
                </c:pt>
                <c:pt idx="68">
                  <c:v>211.322856021907</c:v>
                </c:pt>
                <c:pt idx="69">
                  <c:v>214.06971015033801</c:v>
                </c:pt>
                <c:pt idx="70">
                  <c:v>213.630727496715</c:v>
                </c:pt>
                <c:pt idx="71">
                  <c:v>218.993514385819</c:v>
                </c:pt>
                <c:pt idx="72">
                  <c:v>207.602776440745</c:v>
                </c:pt>
                <c:pt idx="73">
                  <c:v>202.808439453023</c:v>
                </c:pt>
                <c:pt idx="74">
                  <c:v>217.53106910355399</c:v>
                </c:pt>
                <c:pt idx="75">
                  <c:v>187.91732903544499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8-4152-A3FC-73B6FEE91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73519"/>
        <c:axId val="377172031"/>
      </c:scatterChart>
      <c:valAx>
        <c:axId val="4049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2031"/>
        <c:crosses val="autoZero"/>
        <c:crossBetween val="midCat"/>
      </c:valAx>
      <c:valAx>
        <c:axId val="3771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7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'Soy rr766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'Soy rr766 dry'!$A$2:$A$72</c:f>
              <c:numCache>
                <c:formatCode>General</c:formatCode>
                <c:ptCount val="7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</c:numCache>
            </c:numRef>
          </c:cat>
          <c:val>
            <c:numRef>
              <c:f>'Soy rr766 dry'!$B$2:$B$72</c:f>
              <c:numCache>
                <c:formatCode>General</c:formatCode>
                <c:ptCount val="71"/>
                <c:pt idx="0">
                  <c:v>9.1955428905450791</c:v>
                </c:pt>
                <c:pt idx="1">
                  <c:v>5.1705580500320698</c:v>
                </c:pt>
                <c:pt idx="2">
                  <c:v>4.0419818235121703</c:v>
                </c:pt>
                <c:pt idx="3">
                  <c:v>6.0903025601241296</c:v>
                </c:pt>
                <c:pt idx="4">
                  <c:v>5.9857900318133597</c:v>
                </c:pt>
                <c:pt idx="5">
                  <c:v>10.6714661406969</c:v>
                </c:pt>
                <c:pt idx="6">
                  <c:v>21.7821100917431</c:v>
                </c:pt>
                <c:pt idx="7">
                  <c:v>19.643301435406698</c:v>
                </c:pt>
                <c:pt idx="8">
                  <c:v>19.434789156626501</c:v>
                </c:pt>
                <c:pt idx="9">
                  <c:v>18.710544611819198</c:v>
                </c:pt>
                <c:pt idx="10">
                  <c:v>16.642400774443399</c:v>
                </c:pt>
                <c:pt idx="11">
                  <c:v>13.676595744680901</c:v>
                </c:pt>
                <c:pt idx="12">
                  <c:v>15.103709677419401</c:v>
                </c:pt>
                <c:pt idx="13">
                  <c:v>19.659202059202102</c:v>
                </c:pt>
                <c:pt idx="14">
                  <c:v>19.249937733499401</c:v>
                </c:pt>
                <c:pt idx="15">
                  <c:v>23.338060781476099</c:v>
                </c:pt>
                <c:pt idx="16">
                  <c:v>23.412485681557801</c:v>
                </c:pt>
                <c:pt idx="17">
                  <c:v>20.183475783475799</c:v>
                </c:pt>
                <c:pt idx="18">
                  <c:v>10.768653822852301</c:v>
                </c:pt>
                <c:pt idx="19">
                  <c:v>21.245186640471498</c:v>
                </c:pt>
                <c:pt idx="20">
                  <c:v>25.793345008756599</c:v>
                </c:pt>
                <c:pt idx="21">
                  <c:v>21.000899742930599</c:v>
                </c:pt>
                <c:pt idx="22">
                  <c:v>17.934332833583198</c:v>
                </c:pt>
                <c:pt idx="23">
                  <c:v>18.8333789329685</c:v>
                </c:pt>
                <c:pt idx="24">
                  <c:v>13.604240282685501</c:v>
                </c:pt>
                <c:pt idx="25">
                  <c:v>29.8224961479199</c:v>
                </c:pt>
                <c:pt idx="26">
                  <c:v>11.191884328358199</c:v>
                </c:pt>
                <c:pt idx="27">
                  <c:v>25.841886409736301</c:v>
                </c:pt>
                <c:pt idx="28">
                  <c:v>9.2456659619450292</c:v>
                </c:pt>
                <c:pt idx="29">
                  <c:v>25.6987414187643</c:v>
                </c:pt>
                <c:pt idx="30">
                  <c:v>20.1884387351779</c:v>
                </c:pt>
                <c:pt idx="31">
                  <c:v>10.969284876905</c:v>
                </c:pt>
                <c:pt idx="32">
                  <c:v>12.4350119904077</c:v>
                </c:pt>
                <c:pt idx="33">
                  <c:v>25.728974358974401</c:v>
                </c:pt>
                <c:pt idx="34">
                  <c:v>31.217612524461799</c:v>
                </c:pt>
                <c:pt idx="35">
                  <c:v>32.178581267217602</c:v>
                </c:pt>
                <c:pt idx="36">
                  <c:v>19.872159887797999</c:v>
                </c:pt>
                <c:pt idx="37">
                  <c:v>28.234844868735099</c:v>
                </c:pt>
                <c:pt idx="38">
                  <c:v>19.943113131956601</c:v>
                </c:pt>
                <c:pt idx="39">
                  <c:v>21.454682808496798</c:v>
                </c:pt>
                <c:pt idx="40">
                  <c:v>35.463239182048099</c:v>
                </c:pt>
                <c:pt idx="41">
                  <c:v>25.822346710583702</c:v>
                </c:pt>
                <c:pt idx="42">
                  <c:v>32.325250849418502</c:v>
                </c:pt>
                <c:pt idx="43">
                  <c:v>24.645191202250299</c:v>
                </c:pt>
                <c:pt idx="44">
                  <c:v>37.1948224126917</c:v>
                </c:pt>
                <c:pt idx="45">
                  <c:v>39.4268279232233</c:v>
                </c:pt>
                <c:pt idx="46">
                  <c:v>21.766065879331499</c:v>
                </c:pt>
                <c:pt idx="47">
                  <c:v>28.2771226784612</c:v>
                </c:pt>
                <c:pt idx="48">
                  <c:v>14.4730665520279</c:v>
                </c:pt>
                <c:pt idx="49">
                  <c:v>24.893755322871701</c:v>
                </c:pt>
                <c:pt idx="50">
                  <c:v>24.219032772159199</c:v>
                </c:pt>
                <c:pt idx="51">
                  <c:v>18.478664080726801</c:v>
                </c:pt>
                <c:pt idx="52">
                  <c:v>38.766782465028498</c:v>
                </c:pt>
                <c:pt idx="53">
                  <c:v>31.111283405832602</c:v>
                </c:pt>
                <c:pt idx="54">
                  <c:v>25.540724791187799</c:v>
                </c:pt>
                <c:pt idx="55">
                  <c:v>25.563724359387599</c:v>
                </c:pt>
                <c:pt idx="56">
                  <c:v>32.9868922440549</c:v>
                </c:pt>
                <c:pt idx="57">
                  <c:v>42.077621119249301</c:v>
                </c:pt>
                <c:pt idx="58">
                  <c:v>29.505804958265301</c:v>
                </c:pt>
                <c:pt idx="59">
                  <c:v>11.0897838581073</c:v>
                </c:pt>
                <c:pt idx="60">
                  <c:v>14.428397708386299</c:v>
                </c:pt>
                <c:pt idx="61">
                  <c:v>31.506435015409298</c:v>
                </c:pt>
                <c:pt idx="62">
                  <c:v>32.107493913893101</c:v>
                </c:pt>
                <c:pt idx="63">
                  <c:v>35.971341500484399</c:v>
                </c:pt>
                <c:pt idx="64">
                  <c:v>46.302200446963703</c:v>
                </c:pt>
                <c:pt idx="65">
                  <c:v>35.372320745873303</c:v>
                </c:pt>
                <c:pt idx="66">
                  <c:v>41.024795775525597</c:v>
                </c:pt>
                <c:pt idx="67">
                  <c:v>38.152404179006098</c:v>
                </c:pt>
                <c:pt idx="68">
                  <c:v>33.6736833905344</c:v>
                </c:pt>
                <c:pt idx="69">
                  <c:v>33.369385374065303</c:v>
                </c:pt>
                <c:pt idx="70">
                  <c:v>15.7845037782928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A-4C83-81D0-C84C1776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75439"/>
        <c:axId val="445051455"/>
      </c:lineChart>
      <c:catAx>
        <c:axId val="4049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1455"/>
        <c:crosses val="autoZero"/>
        <c:auto val="1"/>
        <c:lblAlgn val="ctr"/>
        <c:lblOffset val="100"/>
        <c:noMultiLvlLbl val="0"/>
      </c:catAx>
      <c:valAx>
        <c:axId val="4450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'soy rr660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'soy rr660 dry'!$A$2:$A$47</c:f>
              <c:numCache>
                <c:formatCode>General</c:formatCode>
                <c:ptCount val="46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  <c:pt idx="39">
                  <c:v>2016</c:v>
                </c:pt>
                <c:pt idx="40">
                  <c:v>2017</c:v>
                </c:pt>
                <c:pt idx="41">
                  <c:v>2018</c:v>
                </c:pt>
                <c:pt idx="42">
                  <c:v>2019</c:v>
                </c:pt>
                <c:pt idx="43">
                  <c:v>2020</c:v>
                </c:pt>
                <c:pt idx="44">
                  <c:v>2021</c:v>
                </c:pt>
                <c:pt idx="45">
                  <c:v>2022</c:v>
                </c:pt>
              </c:numCache>
            </c:numRef>
          </c:xVal>
          <c:yVal>
            <c:numRef>
              <c:f>'soy rr660 dry'!$B$2:$B$47</c:f>
              <c:numCache>
                <c:formatCode>General</c:formatCode>
                <c:ptCount val="46"/>
                <c:pt idx="0">
                  <c:v>21.8</c:v>
                </c:pt>
                <c:pt idx="1">
                  <c:v>19.399999999999999</c:v>
                </c:pt>
                <c:pt idx="2">
                  <c:v>23.482978723404301</c:v>
                </c:pt>
                <c:pt idx="3">
                  <c:v>19.1898734177215</c:v>
                </c:pt>
                <c:pt idx="4">
                  <c:v>18.2138613861386</c:v>
                </c:pt>
                <c:pt idx="5">
                  <c:v>18.882142857142899</c:v>
                </c:pt>
                <c:pt idx="6">
                  <c:v>26.196638655462198</c:v>
                </c:pt>
                <c:pt idx="7">
                  <c:v>25.587068965517201</c:v>
                </c:pt>
                <c:pt idx="8">
                  <c:v>25.676097560975599</c:v>
                </c:pt>
                <c:pt idx="9">
                  <c:v>30.5629213483146</c:v>
                </c:pt>
                <c:pt idx="10">
                  <c:v>22.8291479820628</c:v>
                </c:pt>
                <c:pt idx="11">
                  <c:v>15.7660472972973</c:v>
                </c:pt>
                <c:pt idx="12">
                  <c:v>18.3450901803607</c:v>
                </c:pt>
                <c:pt idx="13">
                  <c:v>29.965166964946999</c:v>
                </c:pt>
                <c:pt idx="14">
                  <c:v>30.220902821829299</c:v>
                </c:pt>
                <c:pt idx="15">
                  <c:v>23.828123951656899</c:v>
                </c:pt>
                <c:pt idx="16">
                  <c:v>25.4818384987543</c:v>
                </c:pt>
                <c:pt idx="17">
                  <c:v>36.912693972835498</c:v>
                </c:pt>
                <c:pt idx="18">
                  <c:v>33.470322260721801</c:v>
                </c:pt>
                <c:pt idx="19">
                  <c:v>30.791849183949399</c:v>
                </c:pt>
                <c:pt idx="20">
                  <c:v>37.289946631467998</c:v>
                </c:pt>
                <c:pt idx="21">
                  <c:v>41.610140866449697</c:v>
                </c:pt>
                <c:pt idx="22">
                  <c:v>41.339670934823502</c:v>
                </c:pt>
                <c:pt idx="23">
                  <c:v>39.684428999248901</c:v>
                </c:pt>
                <c:pt idx="24">
                  <c:v>36.921254254544799</c:v>
                </c:pt>
                <c:pt idx="25">
                  <c:v>34.3375466693956</c:v>
                </c:pt>
                <c:pt idx="26">
                  <c:v>31.379558608006199</c:v>
                </c:pt>
                <c:pt idx="27">
                  <c:v>35.730347381974397</c:v>
                </c:pt>
                <c:pt idx="28">
                  <c:v>38.522717693512803</c:v>
                </c:pt>
                <c:pt idx="29">
                  <c:v>31.624715987404599</c:v>
                </c:pt>
                <c:pt idx="30">
                  <c:v>40.863013240460099</c:v>
                </c:pt>
                <c:pt idx="31">
                  <c:v>34.134363502456999</c:v>
                </c:pt>
                <c:pt idx="32">
                  <c:v>36.573543455756401</c:v>
                </c:pt>
                <c:pt idx="33">
                  <c:v>33.604556370567899</c:v>
                </c:pt>
                <c:pt idx="34">
                  <c:v>35.747597180497998</c:v>
                </c:pt>
                <c:pt idx="35">
                  <c:v>39.285332144299304</c:v>
                </c:pt>
                <c:pt idx="36">
                  <c:v>38.384638255241804</c:v>
                </c:pt>
                <c:pt idx="37">
                  <c:v>43.201247419926901</c:v>
                </c:pt>
                <c:pt idx="38">
                  <c:v>44.692762009488</c:v>
                </c:pt>
                <c:pt idx="39">
                  <c:v>48.236104523974397</c:v>
                </c:pt>
                <c:pt idx="40">
                  <c:v>43.065493943214499</c:v>
                </c:pt>
                <c:pt idx="41">
                  <c:v>42.335622660599</c:v>
                </c:pt>
                <c:pt idx="42">
                  <c:v>44.136276818570003</c:v>
                </c:pt>
                <c:pt idx="43">
                  <c:v>46.992637636966499</c:v>
                </c:pt>
                <c:pt idx="44">
                  <c:v>40.8708327081523</c:v>
                </c:pt>
                <c:pt idx="45">
                  <c:v>45.916954153441303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C6-4663-A82A-CC997A57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909183"/>
        <c:axId val="445059391"/>
      </c:scatterChart>
      <c:valAx>
        <c:axId val="33890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9391"/>
        <c:crosses val="autoZero"/>
        <c:crossBetween val="midCat"/>
      </c:valAx>
      <c:valAx>
        <c:axId val="44505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0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59</xdr:row>
      <xdr:rowOff>14287</xdr:rowOff>
    </xdr:from>
    <xdr:to>
      <xdr:col>12</xdr:col>
      <xdr:colOff>409575</xdr:colOff>
      <xdr:row>73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AE9ED-B6C9-C7E4-77B9-B9B1F315F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625476</xdr:colOff>
      <xdr:row>2</xdr:row>
      <xdr:rowOff>35454</xdr:rowOff>
    </xdr:from>
    <xdr:to>
      <xdr:col>22</xdr:col>
      <xdr:colOff>286809</xdr:colOff>
      <xdr:row>16</xdr:row>
      <xdr:rowOff>111655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D2F07-CDC0-D7D3-9CB0-0F19CBDC2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14287</xdr:rowOff>
    </xdr:from>
    <xdr:to>
      <xdr:col>12</xdr:col>
      <xdr:colOff>409575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EEB08-F270-9235-1211-385910B30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14287</xdr:rowOff>
    </xdr:from>
    <xdr:to>
      <xdr:col>12</xdr:col>
      <xdr:colOff>409575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74D10-26A9-F28B-EB20-C00E50A03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opLeftCell="A48" workbookViewId="0">
      <selection activeCell="E31" sqref="E31:E7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>
        <v>1947</v>
      </c>
      <c r="B2">
        <v>25.824250483558998</v>
      </c>
      <c r="D2" s="1">
        <v>24.3</v>
      </c>
    </row>
    <row r="3" spans="1:4" x14ac:dyDescent="0.25">
      <c r="A3">
        <v>1948</v>
      </c>
      <c r="B3">
        <v>60.8824375509421</v>
      </c>
      <c r="D3" s="2">
        <v>57.7</v>
      </c>
    </row>
    <row r="4" spans="1:4" x14ac:dyDescent="0.25">
      <c r="A4">
        <v>1949</v>
      </c>
      <c r="B4">
        <v>42.7845391337029</v>
      </c>
      <c r="D4" s="1">
        <v>44.3</v>
      </c>
    </row>
    <row r="5" spans="1:4" x14ac:dyDescent="0.25">
      <c r="A5">
        <v>1950</v>
      </c>
      <c r="B5">
        <v>48.563571269982198</v>
      </c>
      <c r="D5" s="2">
        <v>46.4</v>
      </c>
    </row>
    <row r="6" spans="1:4" x14ac:dyDescent="0.25">
      <c r="A6">
        <v>1951</v>
      </c>
      <c r="B6">
        <v>45.504946203661198</v>
      </c>
      <c r="D6" s="1">
        <v>51.5</v>
      </c>
    </row>
    <row r="7" spans="1:4" x14ac:dyDescent="0.25">
      <c r="A7">
        <v>1952</v>
      </c>
      <c r="B7">
        <v>64.070596477181795</v>
      </c>
      <c r="D7" s="2">
        <v>64.2</v>
      </c>
    </row>
    <row r="8" spans="1:4" x14ac:dyDescent="0.25">
      <c r="A8">
        <v>1953</v>
      </c>
      <c r="B8">
        <v>55.357224931202602</v>
      </c>
      <c r="D8" s="1">
        <v>55.5</v>
      </c>
    </row>
    <row r="9" spans="1:4" x14ac:dyDescent="0.25">
      <c r="A9">
        <v>1954</v>
      </c>
      <c r="B9">
        <v>55.173894110774803</v>
      </c>
      <c r="D9" s="2">
        <v>57.4</v>
      </c>
    </row>
    <row r="10" spans="1:4" x14ac:dyDescent="0.25">
      <c r="A10">
        <v>1955</v>
      </c>
      <c r="B10">
        <v>51.5161116577762</v>
      </c>
      <c r="D10" s="1">
        <v>49</v>
      </c>
    </row>
    <row r="11" spans="1:4" x14ac:dyDescent="0.25">
      <c r="A11">
        <v>1956</v>
      </c>
      <c r="B11">
        <v>47.680220485925297</v>
      </c>
      <c r="D11" s="2">
        <v>62.4</v>
      </c>
    </row>
    <row r="12" spans="1:4" x14ac:dyDescent="0.25">
      <c r="A12">
        <v>1957</v>
      </c>
      <c r="B12">
        <v>64.531012761335901</v>
      </c>
      <c r="D12" s="1">
        <v>71</v>
      </c>
    </row>
    <row r="13" spans="1:4" x14ac:dyDescent="0.25">
      <c r="A13">
        <v>1958</v>
      </c>
      <c r="B13">
        <v>70.475370209059193</v>
      </c>
      <c r="D13" s="2">
        <v>72.900000000000006</v>
      </c>
    </row>
    <row r="14" spans="1:4" x14ac:dyDescent="0.25">
      <c r="A14">
        <v>1959</v>
      </c>
      <c r="B14">
        <v>70.095089151450097</v>
      </c>
      <c r="D14" s="1">
        <v>69.7</v>
      </c>
    </row>
    <row r="15" spans="1:4" x14ac:dyDescent="0.25">
      <c r="A15">
        <v>1960</v>
      </c>
      <c r="B15">
        <v>65.149809233934903</v>
      </c>
      <c r="D15" s="2">
        <v>59.5</v>
      </c>
    </row>
    <row r="16" spans="1:4" x14ac:dyDescent="0.25">
      <c r="A16">
        <v>1961</v>
      </c>
      <c r="B16">
        <v>77.184696230360899</v>
      </c>
      <c r="D16" s="1">
        <v>76.900000000000006</v>
      </c>
    </row>
    <row r="17" spans="1:5" x14ac:dyDescent="0.25">
      <c r="A17">
        <v>1962</v>
      </c>
      <c r="B17">
        <v>79.590623644251593</v>
      </c>
      <c r="D17" s="2">
        <v>78.7</v>
      </c>
    </row>
    <row r="18" spans="1:5" x14ac:dyDescent="0.25">
      <c r="A18">
        <v>1963</v>
      </c>
      <c r="B18">
        <v>83.151539338654501</v>
      </c>
      <c r="D18" s="1">
        <v>82.6</v>
      </c>
    </row>
    <row r="19" spans="1:5" x14ac:dyDescent="0.25">
      <c r="A19">
        <v>1964</v>
      </c>
      <c r="B19">
        <v>83.991476730626502</v>
      </c>
      <c r="D19" s="2">
        <v>74.8</v>
      </c>
    </row>
    <row r="20" spans="1:5" x14ac:dyDescent="0.25">
      <c r="A20">
        <v>1965</v>
      </c>
      <c r="B20">
        <v>83.177475027456694</v>
      </c>
      <c r="D20" s="1">
        <v>84.8</v>
      </c>
    </row>
    <row r="21" spans="1:5" x14ac:dyDescent="0.25">
      <c r="A21">
        <v>1966</v>
      </c>
      <c r="B21">
        <v>92.192820832036503</v>
      </c>
      <c r="D21" s="2">
        <v>88.9</v>
      </c>
    </row>
    <row r="22" spans="1:5" x14ac:dyDescent="0.25">
      <c r="A22">
        <v>1967</v>
      </c>
      <c r="B22">
        <v>92.189087356963398</v>
      </c>
      <c r="D22" s="1">
        <v>98.1</v>
      </c>
    </row>
    <row r="23" spans="1:5" x14ac:dyDescent="0.25">
      <c r="A23">
        <v>1968</v>
      </c>
      <c r="B23">
        <v>103.717473935708</v>
      </c>
      <c r="D23" s="2">
        <v>100.1</v>
      </c>
    </row>
    <row r="24" spans="1:5" x14ac:dyDescent="0.25">
      <c r="A24">
        <v>1969</v>
      </c>
      <c r="B24">
        <v>96.427841862983996</v>
      </c>
      <c r="D24" s="1">
        <v>84.7</v>
      </c>
    </row>
    <row r="25" spans="1:5" x14ac:dyDescent="0.25">
      <c r="A25">
        <v>1970</v>
      </c>
      <c r="B25">
        <v>98.269904373052498</v>
      </c>
      <c r="D25" s="2">
        <v>94.7</v>
      </c>
    </row>
    <row r="26" spans="1:5" x14ac:dyDescent="0.25">
      <c r="A26">
        <v>1971</v>
      </c>
      <c r="B26">
        <v>107.245730694385</v>
      </c>
      <c r="D26" s="1">
        <v>100.7</v>
      </c>
    </row>
    <row r="27" spans="1:5" x14ac:dyDescent="0.25">
      <c r="A27">
        <v>1972</v>
      </c>
      <c r="B27">
        <v>123.52516142579699</v>
      </c>
      <c r="D27" s="2">
        <v>114.3</v>
      </c>
    </row>
    <row r="28" spans="1:5" x14ac:dyDescent="0.25">
      <c r="A28">
        <v>1973</v>
      </c>
      <c r="B28">
        <v>112.355746047431</v>
      </c>
      <c r="D28" s="1">
        <v>104.6</v>
      </c>
    </row>
    <row r="29" spans="1:5" x14ac:dyDescent="0.25">
      <c r="A29">
        <v>1974</v>
      </c>
      <c r="B29">
        <v>94.909668629691495</v>
      </c>
      <c r="D29" s="2">
        <v>95.2</v>
      </c>
    </row>
    <row r="30" spans="1:5" x14ac:dyDescent="0.25">
      <c r="A30">
        <v>1975</v>
      </c>
      <c r="B30">
        <v>98.731847974123298</v>
      </c>
      <c r="D30" s="1">
        <v>95.4</v>
      </c>
    </row>
    <row r="31" spans="1:5" x14ac:dyDescent="0.25">
      <c r="A31">
        <v>1976</v>
      </c>
      <c r="B31">
        <v>100.37302720033099</v>
      </c>
      <c r="D31" s="2">
        <v>91.6</v>
      </c>
      <c r="E31" cm="1">
        <f t="array" ref="E31">AVERAGE(B2:B31-D2:D31)</f>
        <v>1.4247731654780518</v>
      </c>
    </row>
    <row r="32" spans="1:5" x14ac:dyDescent="0.25">
      <c r="A32">
        <v>1977</v>
      </c>
      <c r="B32">
        <v>71.678645525849703</v>
      </c>
      <c r="D32" s="1">
        <v>109.2</v>
      </c>
      <c r="E32" cm="1">
        <f t="array" ref="E32">AVERAGE(B3:B32-D3:D32)</f>
        <v>0.12325300022107513</v>
      </c>
    </row>
    <row r="33" spans="1:5" x14ac:dyDescent="0.25">
      <c r="A33">
        <v>1978</v>
      </c>
      <c r="B33">
        <v>117.784879282988</v>
      </c>
      <c r="D33" s="2">
        <v>117.8</v>
      </c>
      <c r="E33" cm="1">
        <f t="array" ref="E33">AVERAGE(B4:B33-D4:D33)</f>
        <v>1.6667724622605344E-2</v>
      </c>
    </row>
    <row r="34" spans="1:5" x14ac:dyDescent="0.25">
      <c r="A34">
        <v>1979</v>
      </c>
      <c r="B34">
        <v>135.57440812683299</v>
      </c>
      <c r="D34" s="1">
        <v>137.1</v>
      </c>
      <c r="E34" cm="1">
        <f t="array" ref="E34">AVERAGE(B5:B34-D5:D34)</f>
        <v>1.6330024393608512E-2</v>
      </c>
    </row>
    <row r="35" spans="1:5" x14ac:dyDescent="0.25">
      <c r="A35">
        <v>1980</v>
      </c>
      <c r="B35">
        <v>119.091547075902</v>
      </c>
      <c r="D35" s="2">
        <v>117.4</v>
      </c>
      <c r="E35" cm="1">
        <f t="array" ref="E35">AVERAGE(B6:B35-D6:D35)</f>
        <v>5.9588459093499557E-4</v>
      </c>
    </row>
    <row r="36" spans="1:5" x14ac:dyDescent="0.25">
      <c r="A36">
        <v>1981</v>
      </c>
      <c r="B36">
        <v>132.9814013267</v>
      </c>
      <c r="D36" s="1">
        <v>132.19999999999999</v>
      </c>
      <c r="E36" cm="1">
        <f t="array" ref="E36">AVERAGE(B7:B36-D7:D36)</f>
        <v>0.22647772202556193</v>
      </c>
    </row>
    <row r="37" spans="1:5" x14ac:dyDescent="0.25">
      <c r="A37">
        <v>1982</v>
      </c>
      <c r="B37">
        <v>128.229054553358</v>
      </c>
      <c r="D37" s="2">
        <v>128</v>
      </c>
      <c r="E37" cm="1">
        <f t="array" ref="E37">AVERAGE(B8:B37-D8:D37)</f>
        <v>0.23842632456476878</v>
      </c>
    </row>
    <row r="38" spans="1:5" x14ac:dyDescent="0.25">
      <c r="A38">
        <v>1983</v>
      </c>
      <c r="B38">
        <v>106.92529190850099</v>
      </c>
      <c r="D38" s="1">
        <v>110.9</v>
      </c>
      <c r="E38" cm="1">
        <f t="array" ref="E38">AVERAGE(B9:B38-D9:D38)</f>
        <v>0.11069522380804836</v>
      </c>
    </row>
    <row r="39" spans="1:5" x14ac:dyDescent="0.25">
      <c r="A39">
        <v>1984</v>
      </c>
      <c r="B39">
        <v>115.381907894737</v>
      </c>
      <c r="D39" s="2">
        <v>106.3</v>
      </c>
      <c r="E39" cm="1">
        <f t="array" ref="E39">AVERAGE(B10:B39-D10:D39)</f>
        <v>0.4876290166067882</v>
      </c>
    </row>
    <row r="40" spans="1:5" x14ac:dyDescent="0.25">
      <c r="A40">
        <v>1985</v>
      </c>
      <c r="B40">
        <v>130.73483904920599</v>
      </c>
      <c r="D40" s="1">
        <v>130</v>
      </c>
      <c r="E40" cm="1">
        <f t="array" ref="E40">AVERAGE(B11:B40-D11:D40)</f>
        <v>0.42825326298778116</v>
      </c>
    </row>
    <row r="41" spans="1:5" x14ac:dyDescent="0.25">
      <c r="A41">
        <v>1986</v>
      </c>
      <c r="B41">
        <v>138.79576034152799</v>
      </c>
      <c r="D41" s="2">
        <v>143.69999999999999</v>
      </c>
      <c r="E41" cm="1">
        <f t="array" ref="E41">AVERAGE(B12:B41-D12:D41)</f>
        <v>0.75543792484120476</v>
      </c>
    </row>
    <row r="42" spans="1:5" x14ac:dyDescent="0.25">
      <c r="A42">
        <v>1987</v>
      </c>
      <c r="B42">
        <v>142.06826857917301</v>
      </c>
      <c r="D42" s="1">
        <v>142.69999999999999</v>
      </c>
      <c r="E42" cm="1">
        <f t="array" ref="E42">AVERAGE(B13:B42-D13:D42)</f>
        <v>0.95001311876910866</v>
      </c>
    </row>
    <row r="43" spans="1:5" x14ac:dyDescent="0.25">
      <c r="A43">
        <v>1988</v>
      </c>
      <c r="B43">
        <v>90.529868273256398</v>
      </c>
      <c r="D43" s="2">
        <v>74.099999999999994</v>
      </c>
      <c r="E43" cm="1">
        <f t="array" ref="E43">AVERAGE(B14:B43-D14:D43)</f>
        <v>1.5784963875756826</v>
      </c>
    </row>
    <row r="44" spans="1:5" x14ac:dyDescent="0.25">
      <c r="A44">
        <v>1989</v>
      </c>
      <c r="B44">
        <v>126.703786481989</v>
      </c>
      <c r="D44" s="1">
        <v>92.8</v>
      </c>
      <c r="E44" cm="1">
        <f t="array" ref="E44">AVERAGE(B15:B44-D15:D44)</f>
        <v>2.695452965260313</v>
      </c>
    </row>
    <row r="45" spans="1:5" x14ac:dyDescent="0.25">
      <c r="A45">
        <v>1990</v>
      </c>
      <c r="B45">
        <v>127.32240414205801</v>
      </c>
      <c r="D45" s="2">
        <v>127.09999847412099</v>
      </c>
      <c r="E45" cm="1">
        <f t="array" ref="E45">AVERAGE(B16:B45-D16:D45)</f>
        <v>2.5145395130603831</v>
      </c>
    </row>
    <row r="46" spans="1:5" x14ac:dyDescent="0.25">
      <c r="A46">
        <v>1991</v>
      </c>
      <c r="B46">
        <v>128.215616233757</v>
      </c>
      <c r="D46" s="1">
        <v>123.800003051758</v>
      </c>
      <c r="E46" cm="1">
        <f t="array" ref="E46">AVERAGE(B17:B46-D17:D46)</f>
        <v>2.6522367447816535</v>
      </c>
    </row>
    <row r="47" spans="1:5" x14ac:dyDescent="0.25">
      <c r="A47">
        <v>1992</v>
      </c>
      <c r="B47">
        <v>164.64612941412801</v>
      </c>
      <c r="D47" s="2">
        <v>157.80000305175801</v>
      </c>
      <c r="E47" cm="1">
        <f t="array" ref="E47">AVERAGE(B18:B47-D18:D47)</f>
        <v>2.850753502052267</v>
      </c>
    </row>
    <row r="48" spans="1:5" x14ac:dyDescent="0.25">
      <c r="A48">
        <v>1993</v>
      </c>
      <c r="B48">
        <v>82.061389045778895</v>
      </c>
      <c r="D48" s="1">
        <v>75.599998474121094</v>
      </c>
      <c r="E48" cm="1">
        <f t="array" ref="E48">AVERAGE(B19:B48-D19:D48)</f>
        <v>3.0477485431523772</v>
      </c>
    </row>
    <row r="49" spans="1:5" x14ac:dyDescent="0.25">
      <c r="A49">
        <v>1994</v>
      </c>
      <c r="B49">
        <v>159.541179341749</v>
      </c>
      <c r="D49" s="2">
        <v>155</v>
      </c>
      <c r="E49" cm="1">
        <f t="array" ref="E49">AVERAGE(B20:B49-D20:D49)</f>
        <v>2.8927386301897937</v>
      </c>
    </row>
    <row r="50" spans="1:5" x14ac:dyDescent="0.25">
      <c r="A50">
        <v>1995</v>
      </c>
      <c r="B50">
        <v>140.68239342105201</v>
      </c>
      <c r="D50" s="1">
        <v>135.5</v>
      </c>
      <c r="E50" cm="1">
        <f t="array" ref="E50">AVERAGE(B21:B50-D21:D50)</f>
        <v>3.1195692433096371</v>
      </c>
    </row>
    <row r="51" spans="1:5" x14ac:dyDescent="0.25">
      <c r="A51">
        <v>1996</v>
      </c>
      <c r="B51">
        <v>152.89416102990401</v>
      </c>
      <c r="D51" s="2">
        <v>144.5</v>
      </c>
      <c r="E51" cm="1">
        <f t="array" ref="E51">AVERAGE(B22:B51-D22:D51)</f>
        <v>3.2896139165718878</v>
      </c>
    </row>
    <row r="52" spans="1:5" x14ac:dyDescent="0.25">
      <c r="A52">
        <v>1997</v>
      </c>
      <c r="B52">
        <v>143.302050391356</v>
      </c>
      <c r="D52" s="1">
        <v>139.10000610351599</v>
      </c>
      <c r="E52" cm="1">
        <f t="array" ref="E52">AVERAGE(B23:B52-D23:D52)</f>
        <v>3.6267124809344415</v>
      </c>
    </row>
    <row r="53" spans="1:5" x14ac:dyDescent="0.25">
      <c r="A53">
        <v>1998</v>
      </c>
      <c r="B53">
        <v>148.39008525802501</v>
      </c>
      <c r="D53" s="2">
        <v>155.39999389648401</v>
      </c>
      <c r="E53" cm="1">
        <f t="array" ref="E53">AVERAGE(B24:B53-D24:D53)</f>
        <v>3.2724663951288746</v>
      </c>
    </row>
    <row r="54" spans="1:5" x14ac:dyDescent="0.25">
      <c r="A54">
        <v>1999</v>
      </c>
      <c r="B54">
        <v>152.42181052973501</v>
      </c>
      <c r="D54" s="1">
        <v>152.80000305175801</v>
      </c>
      <c r="E54" cm="1">
        <f t="array" ref="E54">AVERAGE(B25:B54-D25:D54)</f>
        <v>2.8689319156286417</v>
      </c>
    </row>
    <row r="55" spans="1:5" x14ac:dyDescent="0.25">
      <c r="A55">
        <v>2000</v>
      </c>
      <c r="B55">
        <v>153.414970820695</v>
      </c>
      <c r="D55" s="2">
        <v>144.80000305175801</v>
      </c>
      <c r="E55" cm="1">
        <f t="array" ref="E55">AVERAGE(B26:B55-D26:D55)</f>
        <v>3.0371006954914583</v>
      </c>
    </row>
    <row r="56" spans="1:5" x14ac:dyDescent="0.25">
      <c r="A56">
        <v>2001</v>
      </c>
      <c r="B56">
        <v>154.27525701691101</v>
      </c>
      <c r="D56" s="1">
        <v>165.10000610351599</v>
      </c>
      <c r="E56" cm="1">
        <f t="array" ref="E56">AVERAGE(B27:B56-D27:D56)</f>
        <v>2.4580847027917923</v>
      </c>
    </row>
    <row r="57" spans="1:5" x14ac:dyDescent="0.25">
      <c r="A57">
        <v>2002</v>
      </c>
      <c r="B57">
        <v>178.18626954565499</v>
      </c>
      <c r="D57" s="2">
        <v>183.60000610351599</v>
      </c>
      <c r="E57" cm="1">
        <f t="array" ref="E57">AVERAGE(B28:B57-D28:D57)</f>
        <v>1.9701214366698589</v>
      </c>
    </row>
    <row r="58" spans="1:5" x14ac:dyDescent="0.25">
      <c r="A58">
        <v>2003</v>
      </c>
      <c r="B58">
        <v>171.594522316526</v>
      </c>
      <c r="D58" s="1">
        <v>148.5</v>
      </c>
      <c r="E58" cm="1">
        <f t="array" ref="E58">AVERAGE(B29:B58-D29:D58)</f>
        <v>2.4814139789730252</v>
      </c>
    </row>
    <row r="59" spans="1:5" x14ac:dyDescent="0.25">
      <c r="A59">
        <v>2004</v>
      </c>
      <c r="B59">
        <v>190.42022206016799</v>
      </c>
      <c r="D59" s="2">
        <v>178.60000610351599</v>
      </c>
      <c r="E59" cm="1">
        <f t="array" ref="E59">AVERAGE(B30:B59-D30:D59)</f>
        <v>2.8850988898717085</v>
      </c>
    </row>
    <row r="60" spans="1:5" x14ac:dyDescent="0.25">
      <c r="A60">
        <v>2005</v>
      </c>
      <c r="B60">
        <v>189.05382598902401</v>
      </c>
      <c r="D60" s="1">
        <v>184.39999389648401</v>
      </c>
      <c r="E60" cm="1">
        <f t="array" ref="E60">AVERAGE(B31:B60-D31:D60)</f>
        <v>2.9291650271522656</v>
      </c>
    </row>
    <row r="61" spans="1:5" x14ac:dyDescent="0.25">
      <c r="A61">
        <v>2006</v>
      </c>
      <c r="B61">
        <v>181.84203700395901</v>
      </c>
      <c r="D61" s="2">
        <v>189.89999389648401</v>
      </c>
      <c r="E61" cm="1">
        <f t="array" ref="E61">AVERAGE(B32:B61-D32:D61)</f>
        <v>2.3681322240570655</v>
      </c>
    </row>
    <row r="62" spans="1:5" x14ac:dyDescent="0.25">
      <c r="A62">
        <v>2007</v>
      </c>
      <c r="B62">
        <v>181.04519133653</v>
      </c>
      <c r="D62" s="1">
        <v>179</v>
      </c>
      <c r="E62" cm="1">
        <f t="array" ref="E62">AVERAGE(B33:B62-D33:D62)</f>
        <v>3.6870170844130756</v>
      </c>
    </row>
    <row r="63" spans="1:5" x14ac:dyDescent="0.25">
      <c r="A63">
        <v>2008</v>
      </c>
      <c r="B63">
        <v>163.87995221683499</v>
      </c>
      <c r="D63" s="2">
        <v>163.80000305175801</v>
      </c>
      <c r="E63" cm="1">
        <f t="array" ref="E63">AVERAGE(B34:B63-D34:D63)</f>
        <v>3.6901860804827082</v>
      </c>
    </row>
    <row r="64" spans="1:5" x14ac:dyDescent="0.25">
      <c r="A64">
        <v>2009</v>
      </c>
      <c r="B64">
        <v>176.75017191728401</v>
      </c>
      <c r="D64" s="1">
        <v>173.5</v>
      </c>
      <c r="E64" cm="1">
        <f t="array" ref="E64">AVERAGE(B35:B64-D35:D64)</f>
        <v>3.8493782068310751</v>
      </c>
    </row>
    <row r="65" spans="1:5" x14ac:dyDescent="0.25">
      <c r="A65">
        <v>2010</v>
      </c>
      <c r="B65">
        <v>167.44362014206601</v>
      </c>
      <c r="D65" s="2">
        <v>171.5</v>
      </c>
      <c r="E65" cm="1">
        <f t="array" ref="E65">AVERAGE(B36:B65-D36:D65)</f>
        <v>3.6577806423698758</v>
      </c>
    </row>
    <row r="66" spans="1:5" x14ac:dyDescent="0.25">
      <c r="A66">
        <v>2011</v>
      </c>
      <c r="B66">
        <v>183.58523178869501</v>
      </c>
      <c r="D66" s="1">
        <v>190</v>
      </c>
      <c r="E66" cm="1">
        <f t="array" ref="E66">AVERAGE(B37:B66-D37:D66)</f>
        <v>3.4179083244363757</v>
      </c>
    </row>
    <row r="67" spans="1:5" x14ac:dyDescent="0.25">
      <c r="A67">
        <v>2012</v>
      </c>
      <c r="B67">
        <v>149.91343279003701</v>
      </c>
      <c r="D67" s="2">
        <v>124.40000152587901</v>
      </c>
      <c r="E67" cm="1">
        <f t="array" ref="E67">AVERAGE(B38:B67-D38:D67)</f>
        <v>4.2607208814630422</v>
      </c>
    </row>
    <row r="68" spans="1:5" x14ac:dyDescent="0.25">
      <c r="A68">
        <v>2013</v>
      </c>
      <c r="B68">
        <v>157.20067010425399</v>
      </c>
      <c r="D68" s="1">
        <v>170.19999694824199</v>
      </c>
      <c r="E68" cm="1">
        <f t="array" ref="E68">AVERAGE(B39:B68-D39:D68)</f>
        <v>3.959900256380076</v>
      </c>
    </row>
    <row r="69" spans="1:5" x14ac:dyDescent="0.25">
      <c r="A69">
        <v>2014</v>
      </c>
      <c r="B69">
        <v>175.76545632403301</v>
      </c>
      <c r="D69" s="2">
        <v>166.69999694824199</v>
      </c>
      <c r="E69" cm="1">
        <f t="array" ref="E69">AVERAGE(B40:B69-D40:D69)</f>
        <v>3.9593519724152104</v>
      </c>
    </row>
    <row r="70" spans="1:5" x14ac:dyDescent="0.25">
      <c r="A70">
        <v>2015</v>
      </c>
      <c r="B70">
        <v>202.50031648977</v>
      </c>
      <c r="D70" s="1">
        <v>200.39999389648401</v>
      </c>
      <c r="E70" cm="1">
        <f t="array" ref="E70">AVERAGE(B41:B70-D41:D70)</f>
        <v>4.0048680905512102</v>
      </c>
    </row>
    <row r="71" spans="1:5" x14ac:dyDescent="0.25">
      <c r="A71">
        <v>2016</v>
      </c>
      <c r="B71">
        <v>210.89624731698501</v>
      </c>
      <c r="D71" s="2">
        <v>205.80000305175801</v>
      </c>
      <c r="E71" cm="1">
        <f t="array" ref="E71">AVERAGE(B42:B71-D42:D71)</f>
        <v>4.338217554674511</v>
      </c>
    </row>
    <row r="72" spans="1:5" x14ac:dyDescent="0.25">
      <c r="A72">
        <v>2017</v>
      </c>
      <c r="B72">
        <v>210.674284285477</v>
      </c>
      <c r="D72" s="1">
        <v>212.80000305175801</v>
      </c>
      <c r="E72" cm="1">
        <f t="array" ref="E72">AVERAGE(B43:B72-D43:D72)</f>
        <v>4.2884179764927088</v>
      </c>
    </row>
    <row r="73" spans="1:5" x14ac:dyDescent="0.25">
      <c r="A73">
        <v>2018</v>
      </c>
      <c r="B73">
        <v>205.24261581167099</v>
      </c>
      <c r="D73" s="2">
        <v>224.60000610351599</v>
      </c>
      <c r="E73" cm="1">
        <f t="array" ref="E73">AVERAGE(B44:B73-D44:D73)</f>
        <v>3.0955093576559958</v>
      </c>
    </row>
    <row r="74" spans="1:5" x14ac:dyDescent="0.25">
      <c r="A74">
        <v>2019</v>
      </c>
      <c r="B74">
        <v>207.769125420226</v>
      </c>
      <c r="D74" s="1">
        <v>204.60000610351599</v>
      </c>
      <c r="E74" cm="1">
        <f t="array" ref="E74">AVERAGE(B45:B74-D45:D74)</f>
        <v>2.0710204521466959</v>
      </c>
    </row>
    <row r="75" spans="1:5" x14ac:dyDescent="0.25">
      <c r="A75">
        <v>2020</v>
      </c>
      <c r="B75">
        <v>161.60373582884401</v>
      </c>
      <c r="D75" s="2">
        <v>180.19999694824199</v>
      </c>
      <c r="E75" cm="1">
        <f t="array" ref="E75">AVERAGE(B46:B75-D46:D75)</f>
        <v>1.4437315592355295</v>
      </c>
    </row>
    <row r="76" spans="1:5" x14ac:dyDescent="0.25">
      <c r="A76">
        <v>2021</v>
      </c>
      <c r="B76">
        <v>214.38895525664401</v>
      </c>
      <c r="D76" s="1">
        <v>207.10000610351599</v>
      </c>
      <c r="E76" cm="1">
        <f t="array" ref="E76">AVERAGE(B47:B76-D47:D76)</f>
        <v>1.5395094249398298</v>
      </c>
    </row>
    <row r="77" spans="1:5" x14ac:dyDescent="0.25">
      <c r="A77">
        <v>2022</v>
      </c>
      <c r="B77">
        <v>215.81490210209799</v>
      </c>
      <c r="D77" s="2">
        <v>214.69999694824199</v>
      </c>
      <c r="E77" cm="1">
        <f t="array" ref="E77">AVERAGE(B48:B77-D48:D77)</f>
        <v>1.3484687179893631</v>
      </c>
    </row>
  </sheetData>
  <sortState xmlns:xlrd2="http://schemas.microsoft.com/office/spreadsheetml/2017/richdata2" ref="A2:B77">
    <sortCondition ref="A1:A7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topLeftCell="A64" workbookViewId="0">
      <selection activeCell="A77" sqref="A7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s="3">
        <v>19013</v>
      </c>
    </row>
    <row r="2" spans="1:8" x14ac:dyDescent="0.25">
      <c r="A2">
        <v>1947</v>
      </c>
      <c r="B2">
        <v>33.030642201834901</v>
      </c>
      <c r="D2" s="1">
        <v>24.3</v>
      </c>
      <c r="F2">
        <f>B2-D2</f>
        <v>8.7306422018349004</v>
      </c>
    </row>
    <row r="3" spans="1:8" x14ac:dyDescent="0.25">
      <c r="A3">
        <v>1948</v>
      </c>
      <c r="B3">
        <v>56.110926365795699</v>
      </c>
      <c r="D3" s="2">
        <v>57.7</v>
      </c>
      <c r="F3">
        <f t="shared" ref="F3:F31" si="0">B3-D3</f>
        <v>-1.5890736342043041</v>
      </c>
      <c r="G3">
        <f>B3-D3</f>
        <v>-1.5890736342043041</v>
      </c>
    </row>
    <row r="4" spans="1:8" x14ac:dyDescent="0.25">
      <c r="A4">
        <v>1949</v>
      </c>
      <c r="B4">
        <v>43.709413442681402</v>
      </c>
      <c r="D4" s="1">
        <v>44.3</v>
      </c>
      <c r="F4">
        <f t="shared" si="0"/>
        <v>-0.59058655731859488</v>
      </c>
      <c r="G4">
        <f t="shared" ref="G4:G32" si="1">B4-D4</f>
        <v>-0.59058655731859488</v>
      </c>
      <c r="H4">
        <f>B4-D4</f>
        <v>-0.59058655731859488</v>
      </c>
    </row>
    <row r="5" spans="1:8" x14ac:dyDescent="0.25">
      <c r="A5">
        <v>1950</v>
      </c>
      <c r="B5">
        <v>40.816612772837502</v>
      </c>
      <c r="D5" s="2">
        <v>46.4</v>
      </c>
      <c r="F5">
        <f t="shared" si="0"/>
        <v>-5.5833872271624969</v>
      </c>
      <c r="G5">
        <f t="shared" si="1"/>
        <v>-5.5833872271624969</v>
      </c>
      <c r="H5">
        <f t="shared" ref="H5:H33" si="2">B5-D5</f>
        <v>-5.5833872271624969</v>
      </c>
    </row>
    <row r="6" spans="1:8" x14ac:dyDescent="0.25">
      <c r="A6">
        <v>1951</v>
      </c>
      <c r="B6">
        <v>36.700307101727397</v>
      </c>
      <c r="D6" s="1">
        <v>51.5</v>
      </c>
      <c r="F6">
        <f t="shared" si="0"/>
        <v>-14.799692898272603</v>
      </c>
      <c r="G6">
        <f t="shared" si="1"/>
        <v>-14.799692898272603</v>
      </c>
      <c r="H6">
        <f t="shared" si="2"/>
        <v>-14.799692898272603</v>
      </c>
    </row>
    <row r="7" spans="1:8" x14ac:dyDescent="0.25">
      <c r="A7">
        <v>1952</v>
      </c>
      <c r="B7">
        <v>55.481080045959402</v>
      </c>
      <c r="D7" s="2">
        <v>64.2</v>
      </c>
      <c r="F7">
        <f t="shared" si="0"/>
        <v>-8.7189199540406008</v>
      </c>
      <c r="G7">
        <f t="shared" si="1"/>
        <v>-8.7189199540406008</v>
      </c>
      <c r="H7">
        <f t="shared" si="2"/>
        <v>-8.7189199540406008</v>
      </c>
    </row>
    <row r="8" spans="1:8" x14ac:dyDescent="0.25">
      <c r="A8">
        <v>1953</v>
      </c>
      <c r="B8">
        <v>52.285158239359802</v>
      </c>
      <c r="D8" s="1">
        <v>55.5</v>
      </c>
      <c r="F8">
        <f t="shared" si="0"/>
        <v>-3.2148417606401978</v>
      </c>
      <c r="G8">
        <f t="shared" si="1"/>
        <v>-3.2148417606401978</v>
      </c>
      <c r="H8">
        <f t="shared" si="2"/>
        <v>-3.2148417606401978</v>
      </c>
    </row>
    <row r="9" spans="1:8" x14ac:dyDescent="0.25">
      <c r="A9">
        <v>1954</v>
      </c>
      <c r="B9">
        <v>53.667816318486402</v>
      </c>
      <c r="D9" s="2">
        <v>57.4</v>
      </c>
      <c r="F9">
        <f t="shared" si="0"/>
        <v>-3.7321836815135967</v>
      </c>
      <c r="G9">
        <f t="shared" si="1"/>
        <v>-3.7321836815135967</v>
      </c>
      <c r="H9">
        <f t="shared" si="2"/>
        <v>-3.7321836815135967</v>
      </c>
    </row>
    <row r="10" spans="1:8" x14ac:dyDescent="0.25">
      <c r="A10">
        <v>1955</v>
      </c>
      <c r="B10">
        <v>38.6966152688981</v>
      </c>
      <c r="D10" s="1">
        <v>49</v>
      </c>
      <c r="F10">
        <f t="shared" si="0"/>
        <v>-10.3033847311019</v>
      </c>
      <c r="G10">
        <f t="shared" si="1"/>
        <v>-10.3033847311019</v>
      </c>
      <c r="H10">
        <f t="shared" si="2"/>
        <v>-10.3033847311019</v>
      </c>
    </row>
    <row r="11" spans="1:8" x14ac:dyDescent="0.25">
      <c r="A11">
        <v>1956</v>
      </c>
      <c r="B11">
        <v>24.492573402418</v>
      </c>
      <c r="D11" s="2">
        <v>62.4</v>
      </c>
      <c r="F11">
        <f t="shared" si="0"/>
        <v>-37.907426597582003</v>
      </c>
      <c r="G11">
        <f t="shared" si="1"/>
        <v>-37.907426597582003</v>
      </c>
      <c r="H11">
        <f t="shared" si="2"/>
        <v>-37.907426597582003</v>
      </c>
    </row>
    <row r="12" spans="1:8" x14ac:dyDescent="0.25">
      <c r="A12">
        <v>1957</v>
      </c>
      <c r="B12">
        <v>54.030068520757801</v>
      </c>
      <c r="D12" s="1">
        <v>71</v>
      </c>
      <c r="F12">
        <f t="shared" si="0"/>
        <v>-16.969931479242199</v>
      </c>
      <c r="G12">
        <f t="shared" si="1"/>
        <v>-16.969931479242199</v>
      </c>
      <c r="H12">
        <f t="shared" si="2"/>
        <v>-16.969931479242199</v>
      </c>
    </row>
    <row r="13" spans="1:8" x14ac:dyDescent="0.25">
      <c r="A13">
        <v>1958</v>
      </c>
      <c r="B13">
        <v>43.629369992716697</v>
      </c>
      <c r="D13" s="2">
        <v>72.900000000000006</v>
      </c>
      <c r="F13">
        <f t="shared" si="0"/>
        <v>-29.270630007283309</v>
      </c>
      <c r="G13">
        <f t="shared" si="1"/>
        <v>-29.270630007283309</v>
      </c>
      <c r="H13">
        <f t="shared" si="2"/>
        <v>-29.270630007283309</v>
      </c>
    </row>
    <row r="14" spans="1:8" x14ac:dyDescent="0.25">
      <c r="A14">
        <v>1959</v>
      </c>
      <c r="B14">
        <v>51.048000000000002</v>
      </c>
      <c r="D14" s="1">
        <v>69.7</v>
      </c>
      <c r="F14">
        <f t="shared" si="0"/>
        <v>-18.652000000000001</v>
      </c>
      <c r="G14">
        <f t="shared" si="1"/>
        <v>-18.652000000000001</v>
      </c>
      <c r="H14">
        <f t="shared" si="2"/>
        <v>-18.652000000000001</v>
      </c>
    </row>
    <row r="15" spans="1:8" x14ac:dyDescent="0.25">
      <c r="A15">
        <v>1960</v>
      </c>
      <c r="B15">
        <v>56.066055462948903</v>
      </c>
      <c r="D15" s="2">
        <v>59.5</v>
      </c>
      <c r="F15">
        <f t="shared" si="0"/>
        <v>-3.4339445370510973</v>
      </c>
      <c r="G15">
        <f t="shared" si="1"/>
        <v>-3.4339445370510973</v>
      </c>
      <c r="H15">
        <f t="shared" si="2"/>
        <v>-3.4339445370510973</v>
      </c>
    </row>
    <row r="16" spans="1:8" x14ac:dyDescent="0.25">
      <c r="A16">
        <v>1961</v>
      </c>
      <c r="B16">
        <v>65.110295176385904</v>
      </c>
      <c r="D16" s="1">
        <v>76.900000000000006</v>
      </c>
      <c r="F16">
        <f t="shared" si="0"/>
        <v>-11.789704823614102</v>
      </c>
      <c r="G16">
        <f t="shared" si="1"/>
        <v>-11.789704823614102</v>
      </c>
      <c r="H16">
        <f t="shared" si="2"/>
        <v>-11.789704823614102</v>
      </c>
    </row>
    <row r="17" spans="1:8" x14ac:dyDescent="0.25">
      <c r="A17">
        <v>1962</v>
      </c>
      <c r="B17">
        <v>69.970258773484602</v>
      </c>
      <c r="D17" s="2">
        <v>78.7</v>
      </c>
      <c r="F17">
        <f t="shared" si="0"/>
        <v>-8.7297412265154009</v>
      </c>
      <c r="G17">
        <f t="shared" si="1"/>
        <v>-8.7297412265154009</v>
      </c>
      <c r="H17">
        <f t="shared" si="2"/>
        <v>-8.7297412265154009</v>
      </c>
    </row>
    <row r="18" spans="1:8" x14ac:dyDescent="0.25">
      <c r="A18">
        <v>1963</v>
      </c>
      <c r="B18">
        <v>52.852513598153898</v>
      </c>
      <c r="D18" s="1">
        <v>82.6</v>
      </c>
      <c r="F18">
        <f t="shared" si="0"/>
        <v>-29.747486401846096</v>
      </c>
      <c r="G18">
        <f t="shared" si="1"/>
        <v>-29.747486401846096</v>
      </c>
      <c r="H18">
        <f t="shared" si="2"/>
        <v>-29.747486401846096</v>
      </c>
    </row>
    <row r="19" spans="1:8" x14ac:dyDescent="0.25">
      <c r="A19">
        <v>1964</v>
      </c>
      <c r="B19">
        <v>59.196071221211497</v>
      </c>
      <c r="D19" s="2">
        <v>74.8</v>
      </c>
      <c r="F19">
        <f t="shared" si="0"/>
        <v>-15.6039287787885</v>
      </c>
      <c r="G19">
        <f t="shared" si="1"/>
        <v>-15.6039287787885</v>
      </c>
      <c r="H19">
        <f t="shared" si="2"/>
        <v>-15.6039287787885</v>
      </c>
    </row>
    <row r="20" spans="1:8" x14ac:dyDescent="0.25">
      <c r="A20">
        <v>1965</v>
      </c>
      <c r="B20">
        <v>70.952993022401799</v>
      </c>
      <c r="D20" s="1">
        <v>84.8</v>
      </c>
      <c r="F20">
        <f t="shared" si="0"/>
        <v>-13.847006977598198</v>
      </c>
      <c r="G20">
        <f t="shared" si="1"/>
        <v>-13.847006977598198</v>
      </c>
      <c r="H20">
        <f t="shared" si="2"/>
        <v>-13.847006977598198</v>
      </c>
    </row>
    <row r="21" spans="1:8" x14ac:dyDescent="0.25">
      <c r="A21">
        <v>1966</v>
      </c>
      <c r="B21">
        <v>72.139247779906</v>
      </c>
      <c r="D21" s="2">
        <v>88.9</v>
      </c>
      <c r="F21">
        <f t="shared" si="0"/>
        <v>-16.760752220094005</v>
      </c>
      <c r="G21">
        <f t="shared" si="1"/>
        <v>-16.760752220094005</v>
      </c>
      <c r="H21">
        <f t="shared" si="2"/>
        <v>-16.760752220094005</v>
      </c>
    </row>
    <row r="22" spans="1:8" x14ac:dyDescent="0.25">
      <c r="A22">
        <v>1967</v>
      </c>
      <c r="B22">
        <v>76.243701845547406</v>
      </c>
      <c r="D22" s="1">
        <v>98.1</v>
      </c>
      <c r="F22">
        <f t="shared" si="0"/>
        <v>-21.856298154452588</v>
      </c>
      <c r="G22">
        <f t="shared" si="1"/>
        <v>-21.856298154452588</v>
      </c>
      <c r="H22">
        <f t="shared" si="2"/>
        <v>-21.856298154452588</v>
      </c>
    </row>
    <row r="23" spans="1:8" x14ac:dyDescent="0.25">
      <c r="A23">
        <v>1968</v>
      </c>
      <c r="B23">
        <v>68.553259005145804</v>
      </c>
      <c r="D23" s="2">
        <v>100.1</v>
      </c>
      <c r="F23">
        <f t="shared" si="0"/>
        <v>-31.54674099485419</v>
      </c>
      <c r="G23">
        <f t="shared" si="1"/>
        <v>-31.54674099485419</v>
      </c>
      <c r="H23">
        <f t="shared" si="2"/>
        <v>-31.54674099485419</v>
      </c>
    </row>
    <row r="24" spans="1:8" x14ac:dyDescent="0.25">
      <c r="A24">
        <v>1969</v>
      </c>
      <c r="B24">
        <v>96.212895662368098</v>
      </c>
      <c r="D24" s="1">
        <v>84.7</v>
      </c>
      <c r="F24">
        <f t="shared" si="0"/>
        <v>11.512895662368095</v>
      </c>
      <c r="G24">
        <f t="shared" si="1"/>
        <v>11.512895662368095</v>
      </c>
      <c r="H24">
        <f t="shared" si="2"/>
        <v>11.512895662368095</v>
      </c>
    </row>
    <row r="25" spans="1:8" x14ac:dyDescent="0.25">
      <c r="A25">
        <v>1970</v>
      </c>
      <c r="B25">
        <v>53.726624153049002</v>
      </c>
      <c r="D25" s="2">
        <v>94.7</v>
      </c>
      <c r="F25">
        <f t="shared" si="0"/>
        <v>-40.973375846951001</v>
      </c>
      <c r="G25">
        <f t="shared" si="1"/>
        <v>-40.973375846951001</v>
      </c>
      <c r="H25">
        <f t="shared" si="2"/>
        <v>-40.973375846951001</v>
      </c>
    </row>
    <row r="26" spans="1:8" x14ac:dyDescent="0.25">
      <c r="A26">
        <v>1971</v>
      </c>
      <c r="B26">
        <v>86.257142857142895</v>
      </c>
      <c r="D26" s="1">
        <v>100.7</v>
      </c>
      <c r="F26">
        <f t="shared" si="0"/>
        <v>-14.442857142857108</v>
      </c>
      <c r="G26">
        <f t="shared" si="1"/>
        <v>-14.442857142857108</v>
      </c>
      <c r="H26">
        <f t="shared" si="2"/>
        <v>-14.442857142857108</v>
      </c>
    </row>
    <row r="27" spans="1:8" x14ac:dyDescent="0.25">
      <c r="A27">
        <v>1972</v>
      </c>
      <c r="B27">
        <v>110.54517784462899</v>
      </c>
      <c r="D27" s="2">
        <v>114.3</v>
      </c>
      <c r="F27">
        <f t="shared" si="0"/>
        <v>-3.7548221553710022</v>
      </c>
      <c r="G27">
        <f t="shared" si="1"/>
        <v>-3.7548221553710022</v>
      </c>
      <c r="H27">
        <f t="shared" si="2"/>
        <v>-3.7548221553710022</v>
      </c>
    </row>
    <row r="28" spans="1:8" x14ac:dyDescent="0.25">
      <c r="A28">
        <v>1973</v>
      </c>
      <c r="B28">
        <v>102.920951302378</v>
      </c>
      <c r="D28" s="1">
        <v>104.6</v>
      </c>
      <c r="F28">
        <f t="shared" si="0"/>
        <v>-1.6790486976219938</v>
      </c>
      <c r="G28">
        <f t="shared" si="1"/>
        <v>-1.6790486976219938</v>
      </c>
      <c r="H28">
        <f t="shared" si="2"/>
        <v>-1.6790486976219938</v>
      </c>
    </row>
    <row r="29" spans="1:8" x14ac:dyDescent="0.25">
      <c r="A29">
        <v>1974</v>
      </c>
      <c r="B29">
        <v>60.571625079974403</v>
      </c>
      <c r="D29" s="2">
        <v>95.2</v>
      </c>
      <c r="F29">
        <f t="shared" si="0"/>
        <v>-34.6283749200256</v>
      </c>
      <c r="G29">
        <f t="shared" si="1"/>
        <v>-34.6283749200256</v>
      </c>
      <c r="H29">
        <f t="shared" si="2"/>
        <v>-34.6283749200256</v>
      </c>
    </row>
    <row r="30" spans="1:8" x14ac:dyDescent="0.25">
      <c r="A30">
        <v>1975</v>
      </c>
      <c r="B30">
        <v>70.417605633802793</v>
      </c>
      <c r="D30" s="1">
        <v>95.4</v>
      </c>
      <c r="F30">
        <f t="shared" si="0"/>
        <v>-24.982394366197212</v>
      </c>
      <c r="G30">
        <f t="shared" si="1"/>
        <v>-24.982394366197212</v>
      </c>
      <c r="H30">
        <f t="shared" si="2"/>
        <v>-24.982394366197212</v>
      </c>
    </row>
    <row r="31" spans="1:8" x14ac:dyDescent="0.25">
      <c r="A31">
        <v>1976</v>
      </c>
      <c r="B31">
        <v>56.484349141382701</v>
      </c>
      <c r="D31" s="2">
        <v>91.6</v>
      </c>
      <c r="F31">
        <f t="shared" si="0"/>
        <v>-35.115650858617293</v>
      </c>
      <c r="G31">
        <f t="shared" si="1"/>
        <v>-35.115650858617293</v>
      </c>
      <c r="H31">
        <f t="shared" si="2"/>
        <v>-35.115650858617293</v>
      </c>
    </row>
    <row r="32" spans="1:8" x14ac:dyDescent="0.25">
      <c r="A32">
        <v>1977</v>
      </c>
      <c r="B32">
        <v>90.332788259958093</v>
      </c>
      <c r="D32" s="1">
        <v>109.2</v>
      </c>
      <c r="G32">
        <f t="shared" si="1"/>
        <v>-18.86721174004191</v>
      </c>
      <c r="H32">
        <f t="shared" si="2"/>
        <v>-18.86721174004191</v>
      </c>
    </row>
    <row r="33" spans="1:8" x14ac:dyDescent="0.25">
      <c r="A33">
        <v>1978</v>
      </c>
      <c r="B33">
        <v>112.18538067818299</v>
      </c>
      <c r="D33" s="2">
        <v>117.8</v>
      </c>
      <c r="F33" t="s">
        <v>2</v>
      </c>
      <c r="H33">
        <f t="shared" si="2"/>
        <v>-5.6146193218170026</v>
      </c>
    </row>
    <row r="34" spans="1:8" x14ac:dyDescent="0.25">
      <c r="A34">
        <v>1979</v>
      </c>
      <c r="B34">
        <v>117.936704805492</v>
      </c>
      <c r="D34" s="1">
        <v>137.1</v>
      </c>
      <c r="F34">
        <f>AVERAGE(F2:F31)</f>
        <v>-14.666021625553803</v>
      </c>
      <c r="G34" t="s">
        <v>2</v>
      </c>
    </row>
    <row r="35" spans="1:8" x14ac:dyDescent="0.25">
      <c r="A35">
        <v>1980</v>
      </c>
      <c r="B35">
        <v>98.259459034439402</v>
      </c>
      <c r="D35" s="2">
        <v>117.4</v>
      </c>
      <c r="G35">
        <f>AVERAGE(G3:G32)</f>
        <v>-15.585950090283031</v>
      </c>
      <c r="H35" t="s">
        <v>2</v>
      </c>
    </row>
    <row r="36" spans="1:8" x14ac:dyDescent="0.25">
      <c r="A36">
        <v>1981</v>
      </c>
      <c r="B36">
        <v>109.322135861962</v>
      </c>
      <c r="D36" s="1">
        <v>132.19999999999999</v>
      </c>
      <c r="H36">
        <f>AVERAGE(H4:H33)</f>
        <v>-15.720134946536787</v>
      </c>
    </row>
    <row r="37" spans="1:8" x14ac:dyDescent="0.25">
      <c r="A37">
        <v>1982</v>
      </c>
      <c r="B37">
        <v>107.81793743890501</v>
      </c>
      <c r="D37" s="2">
        <v>128</v>
      </c>
    </row>
    <row r="38" spans="1:8" x14ac:dyDescent="0.25">
      <c r="A38">
        <v>1983</v>
      </c>
      <c r="B38">
        <v>85.026084836665007</v>
      </c>
      <c r="D38" s="1">
        <v>110.9</v>
      </c>
    </row>
    <row r="39" spans="1:8" x14ac:dyDescent="0.25">
      <c r="A39">
        <v>1984</v>
      </c>
      <c r="B39">
        <v>110.142531935801</v>
      </c>
      <c r="D39" s="2">
        <v>106.3</v>
      </c>
    </row>
    <row r="40" spans="1:8" x14ac:dyDescent="0.25">
      <c r="A40">
        <v>1985</v>
      </c>
      <c r="B40">
        <v>123.854967413766</v>
      </c>
      <c r="D40" s="1">
        <v>130</v>
      </c>
    </row>
    <row r="41" spans="1:8" x14ac:dyDescent="0.25">
      <c r="A41">
        <v>1986</v>
      </c>
      <c r="B41">
        <v>127.225539119587</v>
      </c>
      <c r="D41" s="2">
        <v>143.69999999999999</v>
      </c>
    </row>
    <row r="42" spans="1:8" x14ac:dyDescent="0.25">
      <c r="A42">
        <v>1987</v>
      </c>
      <c r="B42">
        <v>117.653222873308</v>
      </c>
      <c r="D42" s="1">
        <v>142.69999999999999</v>
      </c>
    </row>
    <row r="43" spans="1:8" x14ac:dyDescent="0.25">
      <c r="A43">
        <v>1988</v>
      </c>
      <c r="B43">
        <v>78.327536514118805</v>
      </c>
      <c r="D43" s="2">
        <v>74.099999999999994</v>
      </c>
    </row>
    <row r="44" spans="1:8" x14ac:dyDescent="0.25">
      <c r="A44">
        <v>1989</v>
      </c>
      <c r="B44">
        <v>123.790955124847</v>
      </c>
      <c r="D44" s="1">
        <v>92.8</v>
      </c>
    </row>
    <row r="45" spans="1:8" x14ac:dyDescent="0.25">
      <c r="A45">
        <v>1990</v>
      </c>
      <c r="B45">
        <v>123.286316696822</v>
      </c>
      <c r="D45" s="2">
        <v>127.09999847412099</v>
      </c>
    </row>
    <row r="46" spans="1:8" x14ac:dyDescent="0.25">
      <c r="A46">
        <v>1991</v>
      </c>
      <c r="B46">
        <v>129.748691395104</v>
      </c>
      <c r="D46" s="1">
        <v>123.800003051758</v>
      </c>
    </row>
    <row r="47" spans="1:8" x14ac:dyDescent="0.25">
      <c r="A47">
        <v>1992</v>
      </c>
      <c r="B47">
        <v>147.859370013432</v>
      </c>
      <c r="D47" s="2">
        <v>157.80000305175801</v>
      </c>
    </row>
    <row r="48" spans="1:8" x14ac:dyDescent="0.25">
      <c r="A48">
        <v>1993</v>
      </c>
      <c r="B48">
        <v>100.38538821302799</v>
      </c>
      <c r="D48" s="1">
        <v>75.599998474121094</v>
      </c>
    </row>
    <row r="49" spans="1:4" x14ac:dyDescent="0.25">
      <c r="A49">
        <v>1994</v>
      </c>
      <c r="B49">
        <v>152.873056434783</v>
      </c>
      <c r="D49" s="2">
        <v>155</v>
      </c>
    </row>
    <row r="50" spans="1:4" x14ac:dyDescent="0.25">
      <c r="A50">
        <v>1995</v>
      </c>
      <c r="B50">
        <v>125.794575129843</v>
      </c>
      <c r="D50" s="1">
        <v>135.5</v>
      </c>
    </row>
    <row r="51" spans="1:4" x14ac:dyDescent="0.25">
      <c r="A51">
        <v>1996</v>
      </c>
      <c r="B51">
        <v>141.52852054789301</v>
      </c>
      <c r="D51" s="2">
        <v>144.5</v>
      </c>
    </row>
    <row r="52" spans="1:4" x14ac:dyDescent="0.25">
      <c r="A52">
        <v>1997</v>
      </c>
      <c r="B52">
        <v>135.92843898421401</v>
      </c>
      <c r="D52" s="1">
        <v>139.10000610351599</v>
      </c>
    </row>
    <row r="53" spans="1:4" x14ac:dyDescent="0.25">
      <c r="A53">
        <v>1998</v>
      </c>
      <c r="B53">
        <v>159.45629192925199</v>
      </c>
      <c r="D53" s="2">
        <v>155.39999389648401</v>
      </c>
    </row>
    <row r="54" spans="1:4" x14ac:dyDescent="0.25">
      <c r="A54">
        <v>1999</v>
      </c>
      <c r="B54">
        <v>167.15945003818999</v>
      </c>
      <c r="D54" s="1">
        <v>152.80000305175801</v>
      </c>
    </row>
    <row r="55" spans="1:4" x14ac:dyDescent="0.25">
      <c r="A55">
        <v>2000</v>
      </c>
      <c r="B55">
        <v>138.86116910850299</v>
      </c>
      <c r="D55" s="2">
        <v>144.80000305175801</v>
      </c>
    </row>
    <row r="56" spans="1:4" x14ac:dyDescent="0.25">
      <c r="A56">
        <v>2001</v>
      </c>
      <c r="B56">
        <v>147.89588838621</v>
      </c>
      <c r="D56" s="1">
        <v>165.10000610351599</v>
      </c>
    </row>
    <row r="57" spans="1:4" x14ac:dyDescent="0.25">
      <c r="A57">
        <v>2002</v>
      </c>
      <c r="B57">
        <v>161.79350521432599</v>
      </c>
      <c r="D57" s="2">
        <v>183.60000610351599</v>
      </c>
    </row>
    <row r="58" spans="1:4" x14ac:dyDescent="0.25">
      <c r="A58">
        <v>2003</v>
      </c>
      <c r="B58">
        <v>166.13611242424801</v>
      </c>
      <c r="D58" s="1">
        <v>148.5</v>
      </c>
    </row>
    <row r="59" spans="1:4" x14ac:dyDescent="0.25">
      <c r="A59">
        <v>2004</v>
      </c>
      <c r="B59">
        <v>193.94854802324801</v>
      </c>
      <c r="D59" s="2">
        <v>178.60000610351599</v>
      </c>
    </row>
    <row r="60" spans="1:4" x14ac:dyDescent="0.25">
      <c r="A60">
        <v>2005</v>
      </c>
      <c r="B60">
        <v>182.56318567768599</v>
      </c>
      <c r="D60" s="1">
        <v>184.39999389648401</v>
      </c>
    </row>
    <row r="61" spans="1:4" x14ac:dyDescent="0.25">
      <c r="A61">
        <v>2006</v>
      </c>
      <c r="B61">
        <v>158.730431074086</v>
      </c>
      <c r="D61" s="2">
        <v>189.89999389648401</v>
      </c>
    </row>
    <row r="62" spans="1:4" x14ac:dyDescent="0.25">
      <c r="A62">
        <v>2007</v>
      </c>
      <c r="B62">
        <v>155.006716803025</v>
      </c>
      <c r="D62" s="1">
        <v>179</v>
      </c>
    </row>
    <row r="63" spans="1:4" x14ac:dyDescent="0.25">
      <c r="A63">
        <v>2008</v>
      </c>
      <c r="B63">
        <v>202.36961839566101</v>
      </c>
      <c r="D63" s="2">
        <v>163.80000305175801</v>
      </c>
    </row>
    <row r="64" spans="1:4" x14ac:dyDescent="0.25">
      <c r="A64">
        <v>2009</v>
      </c>
      <c r="B64">
        <v>204.477653675471</v>
      </c>
      <c r="D64" s="1">
        <v>173.5</v>
      </c>
    </row>
    <row r="65" spans="1:4" x14ac:dyDescent="0.25">
      <c r="A65">
        <v>2010</v>
      </c>
      <c r="B65">
        <v>196.669163526197</v>
      </c>
      <c r="D65" s="2">
        <v>171.5</v>
      </c>
    </row>
    <row r="66" spans="1:4" x14ac:dyDescent="0.25">
      <c r="A66">
        <v>2011</v>
      </c>
      <c r="B66">
        <v>179.976718566594</v>
      </c>
      <c r="D66" s="1">
        <v>190</v>
      </c>
    </row>
    <row r="67" spans="1:4" x14ac:dyDescent="0.25">
      <c r="A67">
        <v>2012</v>
      </c>
      <c r="B67">
        <v>130.111365557927</v>
      </c>
      <c r="D67" s="2">
        <v>124.40000152587901</v>
      </c>
    </row>
    <row r="68" spans="1:4" x14ac:dyDescent="0.25">
      <c r="A68">
        <v>2013</v>
      </c>
      <c r="B68">
        <v>193.98532318160301</v>
      </c>
      <c r="D68" s="1">
        <v>170.19999694824199</v>
      </c>
    </row>
    <row r="69" spans="1:4" x14ac:dyDescent="0.25">
      <c r="A69">
        <v>2014</v>
      </c>
      <c r="B69">
        <v>182.25639665989399</v>
      </c>
      <c r="D69" s="2">
        <v>166.69999694824199</v>
      </c>
    </row>
    <row r="70" spans="1:4" x14ac:dyDescent="0.25">
      <c r="A70">
        <v>2015</v>
      </c>
      <c r="B70">
        <v>211.322856021907</v>
      </c>
      <c r="D70" s="1">
        <v>200.39999389648401</v>
      </c>
    </row>
    <row r="71" spans="1:4" x14ac:dyDescent="0.25">
      <c r="A71">
        <v>2016</v>
      </c>
      <c r="B71">
        <v>214.06971015033801</v>
      </c>
      <c r="D71" s="2">
        <v>205.80000305175801</v>
      </c>
    </row>
    <row r="72" spans="1:4" x14ac:dyDescent="0.25">
      <c r="A72">
        <v>2017</v>
      </c>
      <c r="B72">
        <v>213.630727496715</v>
      </c>
      <c r="D72" s="1">
        <v>212.80000305175801</v>
      </c>
    </row>
    <row r="73" spans="1:4" x14ac:dyDescent="0.25">
      <c r="A73">
        <v>2018</v>
      </c>
      <c r="B73">
        <v>218.993514385819</v>
      </c>
      <c r="D73" s="2">
        <v>224.60000610351599</v>
      </c>
    </row>
    <row r="74" spans="1:4" x14ac:dyDescent="0.25">
      <c r="A74">
        <v>2019</v>
      </c>
      <c r="B74">
        <v>207.602776440745</v>
      </c>
      <c r="D74" s="1">
        <v>204.60000610351599</v>
      </c>
    </row>
    <row r="75" spans="1:4" x14ac:dyDescent="0.25">
      <c r="A75">
        <v>2020</v>
      </c>
      <c r="B75">
        <v>202.808439453023</v>
      </c>
      <c r="D75" s="2">
        <v>180.19999694824199</v>
      </c>
    </row>
    <row r="76" spans="1:4" x14ac:dyDescent="0.25">
      <c r="A76">
        <v>2021</v>
      </c>
      <c r="B76">
        <v>217.53106910355399</v>
      </c>
      <c r="D76" s="1">
        <v>207.10000610351599</v>
      </c>
    </row>
    <row r="77" spans="1:4" x14ac:dyDescent="0.25">
      <c r="A77" t="s">
        <v>3</v>
      </c>
      <c r="B77">
        <v>187.91732903544499</v>
      </c>
      <c r="D77" s="2">
        <v>214.69999694824199</v>
      </c>
    </row>
  </sheetData>
  <sortState xmlns:xlrd2="http://schemas.microsoft.com/office/spreadsheetml/2017/richdata2" ref="A2:B77">
    <sortCondition ref="A1:A7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"/>
  <sheetViews>
    <sheetView workbookViewId="0">
      <selection activeCell="O11" sqref="O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1952</v>
      </c>
      <c r="B2">
        <v>9.1955428905450791</v>
      </c>
    </row>
    <row r="3" spans="1:2" x14ac:dyDescent="0.25">
      <c r="A3">
        <v>1953</v>
      </c>
      <c r="B3">
        <v>5.1705580500320698</v>
      </c>
    </row>
    <row r="4" spans="1:2" x14ac:dyDescent="0.25">
      <c r="A4">
        <v>1954</v>
      </c>
      <c r="B4">
        <v>4.0419818235121703</v>
      </c>
    </row>
    <row r="5" spans="1:2" x14ac:dyDescent="0.25">
      <c r="A5">
        <v>1955</v>
      </c>
      <c r="B5">
        <v>6.0903025601241296</v>
      </c>
    </row>
    <row r="6" spans="1:2" x14ac:dyDescent="0.25">
      <c r="A6">
        <v>1956</v>
      </c>
      <c r="B6">
        <v>5.9857900318133597</v>
      </c>
    </row>
    <row r="7" spans="1:2" x14ac:dyDescent="0.25">
      <c r="A7">
        <v>1957</v>
      </c>
      <c r="B7">
        <v>10.6714661406969</v>
      </c>
    </row>
    <row r="8" spans="1:2" x14ac:dyDescent="0.25">
      <c r="A8">
        <v>1958</v>
      </c>
      <c r="B8">
        <v>21.7821100917431</v>
      </c>
    </row>
    <row r="9" spans="1:2" x14ac:dyDescent="0.25">
      <c r="A9">
        <v>1959</v>
      </c>
      <c r="B9">
        <v>19.643301435406698</v>
      </c>
    </row>
    <row r="10" spans="1:2" x14ac:dyDescent="0.25">
      <c r="A10">
        <v>1960</v>
      </c>
      <c r="B10">
        <v>19.434789156626501</v>
      </c>
    </row>
    <row r="11" spans="1:2" x14ac:dyDescent="0.25">
      <c r="A11">
        <v>1961</v>
      </c>
      <c r="B11">
        <v>18.710544611819198</v>
      </c>
    </row>
    <row r="12" spans="1:2" x14ac:dyDescent="0.25">
      <c r="A12">
        <v>1962</v>
      </c>
      <c r="B12">
        <v>16.642400774443399</v>
      </c>
    </row>
    <row r="13" spans="1:2" x14ac:dyDescent="0.25">
      <c r="A13">
        <v>1963</v>
      </c>
      <c r="B13">
        <v>13.676595744680901</v>
      </c>
    </row>
    <row r="14" spans="1:2" x14ac:dyDescent="0.25">
      <c r="A14">
        <v>1964</v>
      </c>
      <c r="B14">
        <v>15.103709677419401</v>
      </c>
    </row>
    <row r="15" spans="1:2" x14ac:dyDescent="0.25">
      <c r="A15">
        <v>1965</v>
      </c>
      <c r="B15">
        <v>19.659202059202102</v>
      </c>
    </row>
    <row r="16" spans="1:2" x14ac:dyDescent="0.25">
      <c r="A16">
        <v>1966</v>
      </c>
      <c r="B16">
        <v>19.249937733499401</v>
      </c>
    </row>
    <row r="17" spans="1:2" x14ac:dyDescent="0.25">
      <c r="A17">
        <v>1967</v>
      </c>
      <c r="B17">
        <v>23.338060781476099</v>
      </c>
    </row>
    <row r="18" spans="1:2" x14ac:dyDescent="0.25">
      <c r="A18">
        <v>1968</v>
      </c>
      <c r="B18">
        <v>23.412485681557801</v>
      </c>
    </row>
    <row r="19" spans="1:2" x14ac:dyDescent="0.25">
      <c r="A19">
        <v>1969</v>
      </c>
      <c r="B19">
        <v>20.183475783475799</v>
      </c>
    </row>
    <row r="20" spans="1:2" x14ac:dyDescent="0.25">
      <c r="A20">
        <v>1970</v>
      </c>
      <c r="B20">
        <v>10.768653822852301</v>
      </c>
    </row>
    <row r="21" spans="1:2" x14ac:dyDescent="0.25">
      <c r="A21">
        <v>1971</v>
      </c>
      <c r="B21">
        <v>21.245186640471498</v>
      </c>
    </row>
    <row r="22" spans="1:2" x14ac:dyDescent="0.25">
      <c r="A22">
        <v>1972</v>
      </c>
      <c r="B22">
        <v>25.793345008756599</v>
      </c>
    </row>
    <row r="23" spans="1:2" x14ac:dyDescent="0.25">
      <c r="A23">
        <v>1973</v>
      </c>
      <c r="B23">
        <v>21.000899742930599</v>
      </c>
    </row>
    <row r="24" spans="1:2" x14ac:dyDescent="0.25">
      <c r="A24">
        <v>1974</v>
      </c>
      <c r="B24">
        <v>17.934332833583198</v>
      </c>
    </row>
    <row r="25" spans="1:2" x14ac:dyDescent="0.25">
      <c r="A25">
        <v>1975</v>
      </c>
      <c r="B25">
        <v>18.8333789329685</v>
      </c>
    </row>
    <row r="26" spans="1:2" x14ac:dyDescent="0.25">
      <c r="A26">
        <v>1976</v>
      </c>
      <c r="B26">
        <v>13.604240282685501</v>
      </c>
    </row>
    <row r="27" spans="1:2" x14ac:dyDescent="0.25">
      <c r="A27">
        <v>1977</v>
      </c>
      <c r="B27">
        <v>29.8224961479199</v>
      </c>
    </row>
    <row r="28" spans="1:2" x14ac:dyDescent="0.25">
      <c r="A28">
        <v>1978</v>
      </c>
      <c r="B28">
        <v>11.191884328358199</v>
      </c>
    </row>
    <row r="29" spans="1:2" x14ac:dyDescent="0.25">
      <c r="A29">
        <v>1979</v>
      </c>
      <c r="B29">
        <v>25.841886409736301</v>
      </c>
    </row>
    <row r="30" spans="1:2" x14ac:dyDescent="0.25">
      <c r="A30">
        <v>1980</v>
      </c>
      <c r="B30">
        <v>9.2456659619450292</v>
      </c>
    </row>
    <row r="31" spans="1:2" x14ac:dyDescent="0.25">
      <c r="A31">
        <v>1981</v>
      </c>
      <c r="B31">
        <v>25.6987414187643</v>
      </c>
    </row>
    <row r="32" spans="1:2" x14ac:dyDescent="0.25">
      <c r="A32">
        <v>1982</v>
      </c>
      <c r="B32">
        <v>20.1884387351779</v>
      </c>
    </row>
    <row r="33" spans="1:2" x14ac:dyDescent="0.25">
      <c r="A33">
        <v>1983</v>
      </c>
      <c r="B33">
        <v>10.969284876905</v>
      </c>
    </row>
    <row r="34" spans="1:2" x14ac:dyDescent="0.25">
      <c r="A34">
        <v>1984</v>
      </c>
      <c r="B34">
        <v>12.4350119904077</v>
      </c>
    </row>
    <row r="35" spans="1:2" x14ac:dyDescent="0.25">
      <c r="A35">
        <v>1985</v>
      </c>
      <c r="B35">
        <v>25.728974358974401</v>
      </c>
    </row>
    <row r="36" spans="1:2" x14ac:dyDescent="0.25">
      <c r="A36">
        <v>1986</v>
      </c>
      <c r="B36">
        <v>31.217612524461799</v>
      </c>
    </row>
    <row r="37" spans="1:2" x14ac:dyDescent="0.25">
      <c r="A37">
        <v>1987</v>
      </c>
      <c r="B37">
        <v>32.178581267217602</v>
      </c>
    </row>
    <row r="38" spans="1:2" x14ac:dyDescent="0.25">
      <c r="A38">
        <v>1988</v>
      </c>
      <c r="B38">
        <v>19.872159887797999</v>
      </c>
    </row>
    <row r="39" spans="1:2" x14ac:dyDescent="0.25">
      <c r="A39">
        <v>1989</v>
      </c>
      <c r="B39">
        <v>28.234844868735099</v>
      </c>
    </row>
    <row r="40" spans="1:2" x14ac:dyDescent="0.25">
      <c r="A40">
        <v>1990</v>
      </c>
      <c r="B40">
        <v>19.943113131956601</v>
      </c>
    </row>
    <row r="41" spans="1:2" x14ac:dyDescent="0.25">
      <c r="A41">
        <v>1991</v>
      </c>
      <c r="B41">
        <v>21.454682808496798</v>
      </c>
    </row>
    <row r="42" spans="1:2" x14ac:dyDescent="0.25">
      <c r="A42">
        <v>1992</v>
      </c>
      <c r="B42">
        <v>35.463239182048099</v>
      </c>
    </row>
    <row r="43" spans="1:2" x14ac:dyDescent="0.25">
      <c r="A43">
        <v>1993</v>
      </c>
      <c r="B43">
        <v>25.822346710583702</v>
      </c>
    </row>
    <row r="44" spans="1:2" x14ac:dyDescent="0.25">
      <c r="A44">
        <v>1994</v>
      </c>
      <c r="B44">
        <v>32.325250849418502</v>
      </c>
    </row>
    <row r="45" spans="1:2" x14ac:dyDescent="0.25">
      <c r="A45">
        <v>1995</v>
      </c>
      <c r="B45">
        <v>24.645191202250299</v>
      </c>
    </row>
    <row r="46" spans="1:2" x14ac:dyDescent="0.25">
      <c r="A46">
        <v>1996</v>
      </c>
      <c r="B46">
        <v>37.1948224126917</v>
      </c>
    </row>
    <row r="47" spans="1:2" x14ac:dyDescent="0.25">
      <c r="A47">
        <v>1997</v>
      </c>
      <c r="B47">
        <v>39.4268279232233</v>
      </c>
    </row>
    <row r="48" spans="1:2" x14ac:dyDescent="0.25">
      <c r="A48">
        <v>1998</v>
      </c>
      <c r="B48">
        <v>21.766065879331499</v>
      </c>
    </row>
    <row r="49" spans="1:2" x14ac:dyDescent="0.25">
      <c r="A49">
        <v>1999</v>
      </c>
      <c r="B49">
        <v>28.2771226784612</v>
      </c>
    </row>
    <row r="50" spans="1:2" x14ac:dyDescent="0.25">
      <c r="A50">
        <v>2000</v>
      </c>
      <c r="B50">
        <v>14.4730665520279</v>
      </c>
    </row>
    <row r="51" spans="1:2" x14ac:dyDescent="0.25">
      <c r="A51">
        <v>2001</v>
      </c>
      <c r="B51">
        <v>24.893755322871701</v>
      </c>
    </row>
    <row r="52" spans="1:2" x14ac:dyDescent="0.25">
      <c r="A52">
        <v>2002</v>
      </c>
      <c r="B52">
        <v>24.219032772159199</v>
      </c>
    </row>
    <row r="53" spans="1:2" x14ac:dyDescent="0.25">
      <c r="A53">
        <v>2003</v>
      </c>
      <c r="B53">
        <v>18.478664080726801</v>
      </c>
    </row>
    <row r="54" spans="1:2" x14ac:dyDescent="0.25">
      <c r="A54">
        <v>2004</v>
      </c>
      <c r="B54">
        <v>38.766782465028498</v>
      </c>
    </row>
    <row r="55" spans="1:2" x14ac:dyDescent="0.25">
      <c r="A55">
        <v>2005</v>
      </c>
      <c r="B55">
        <v>31.111283405832602</v>
      </c>
    </row>
    <row r="56" spans="1:2" x14ac:dyDescent="0.25">
      <c r="A56">
        <v>2006</v>
      </c>
      <c r="B56">
        <v>25.540724791187799</v>
      </c>
    </row>
    <row r="57" spans="1:2" x14ac:dyDescent="0.25">
      <c r="A57">
        <v>2007</v>
      </c>
      <c r="B57">
        <v>25.563724359387599</v>
      </c>
    </row>
    <row r="58" spans="1:2" x14ac:dyDescent="0.25">
      <c r="A58">
        <v>2008</v>
      </c>
      <c r="B58">
        <v>32.9868922440549</v>
      </c>
    </row>
    <row r="59" spans="1:2" x14ac:dyDescent="0.25">
      <c r="A59">
        <v>2009</v>
      </c>
      <c r="B59">
        <v>42.077621119249301</v>
      </c>
    </row>
    <row r="60" spans="1:2" x14ac:dyDescent="0.25">
      <c r="A60">
        <v>2010</v>
      </c>
      <c r="B60">
        <v>29.505804958265301</v>
      </c>
    </row>
    <row r="61" spans="1:2" x14ac:dyDescent="0.25">
      <c r="A61">
        <v>2011</v>
      </c>
      <c r="B61">
        <v>11.0897838581073</v>
      </c>
    </row>
    <row r="62" spans="1:2" x14ac:dyDescent="0.25">
      <c r="A62">
        <v>2012</v>
      </c>
      <c r="B62">
        <v>14.428397708386299</v>
      </c>
    </row>
    <row r="63" spans="1:2" x14ac:dyDescent="0.25">
      <c r="A63">
        <v>2013</v>
      </c>
      <c r="B63">
        <v>31.506435015409298</v>
      </c>
    </row>
    <row r="64" spans="1:2" x14ac:dyDescent="0.25">
      <c r="A64">
        <v>2014</v>
      </c>
      <c r="B64">
        <v>32.107493913893101</v>
      </c>
    </row>
    <row r="65" spans="1:2" x14ac:dyDescent="0.25">
      <c r="A65">
        <v>2015</v>
      </c>
      <c r="B65">
        <v>35.971341500484399</v>
      </c>
    </row>
    <row r="66" spans="1:2" x14ac:dyDescent="0.25">
      <c r="A66">
        <v>2016</v>
      </c>
      <c r="B66">
        <v>46.302200446963703</v>
      </c>
    </row>
    <row r="67" spans="1:2" x14ac:dyDescent="0.25">
      <c r="A67">
        <v>2017</v>
      </c>
      <c r="B67">
        <v>35.372320745873303</v>
      </c>
    </row>
    <row r="68" spans="1:2" x14ac:dyDescent="0.25">
      <c r="A68">
        <v>2018</v>
      </c>
      <c r="B68">
        <v>41.024795775525597</v>
      </c>
    </row>
    <row r="69" spans="1:2" x14ac:dyDescent="0.25">
      <c r="A69">
        <v>2019</v>
      </c>
      <c r="B69">
        <v>38.152404179006098</v>
      </c>
    </row>
    <row r="70" spans="1:2" x14ac:dyDescent="0.25">
      <c r="A70">
        <v>2020</v>
      </c>
      <c r="B70">
        <v>33.6736833905344</v>
      </c>
    </row>
    <row r="71" spans="1:2" x14ac:dyDescent="0.25">
      <c r="A71">
        <v>2021</v>
      </c>
      <c r="B71">
        <v>33.369385374065303</v>
      </c>
    </row>
    <row r="72" spans="1:2" x14ac:dyDescent="0.25">
      <c r="A72">
        <v>2022</v>
      </c>
      <c r="B72">
        <v>15.7845037782928</v>
      </c>
    </row>
  </sheetData>
  <sortState xmlns:xlrd2="http://schemas.microsoft.com/office/spreadsheetml/2017/richdata2" ref="A2:B72">
    <sortCondition ref="A1:A72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1977</v>
      </c>
      <c r="B2">
        <v>21.8</v>
      </c>
    </row>
    <row r="3" spans="1:2" x14ac:dyDescent="0.25">
      <c r="A3">
        <v>1978</v>
      </c>
      <c r="B3">
        <v>19.399999999999999</v>
      </c>
    </row>
    <row r="4" spans="1:2" x14ac:dyDescent="0.25">
      <c r="A4">
        <v>1979</v>
      </c>
      <c r="B4">
        <v>23.482978723404301</v>
      </c>
    </row>
    <row r="5" spans="1:2" x14ac:dyDescent="0.25">
      <c r="A5">
        <v>1980</v>
      </c>
      <c r="B5">
        <v>19.1898734177215</v>
      </c>
    </row>
    <row r="6" spans="1:2" x14ac:dyDescent="0.25">
      <c r="A6">
        <v>1981</v>
      </c>
      <c r="B6">
        <v>18.2138613861386</v>
      </c>
    </row>
    <row r="7" spans="1:2" x14ac:dyDescent="0.25">
      <c r="A7">
        <v>1982</v>
      </c>
      <c r="B7">
        <v>18.882142857142899</v>
      </c>
    </row>
    <row r="8" spans="1:2" x14ac:dyDescent="0.25">
      <c r="A8">
        <v>1983</v>
      </c>
      <c r="B8">
        <v>26.196638655462198</v>
      </c>
    </row>
    <row r="9" spans="1:2" x14ac:dyDescent="0.25">
      <c r="A9">
        <v>1984</v>
      </c>
      <c r="B9">
        <v>25.587068965517201</v>
      </c>
    </row>
    <row r="10" spans="1:2" x14ac:dyDescent="0.25">
      <c r="A10">
        <v>1985</v>
      </c>
      <c r="B10">
        <v>25.676097560975599</v>
      </c>
    </row>
    <row r="11" spans="1:2" x14ac:dyDescent="0.25">
      <c r="A11">
        <v>1986</v>
      </c>
      <c r="B11">
        <v>30.5629213483146</v>
      </c>
    </row>
    <row r="12" spans="1:2" x14ac:dyDescent="0.25">
      <c r="A12">
        <v>1987</v>
      </c>
      <c r="B12">
        <v>22.8291479820628</v>
      </c>
    </row>
    <row r="13" spans="1:2" x14ac:dyDescent="0.25">
      <c r="A13">
        <v>1988</v>
      </c>
      <c r="B13">
        <v>15.7660472972973</v>
      </c>
    </row>
    <row r="14" spans="1:2" x14ac:dyDescent="0.25">
      <c r="A14">
        <v>1989</v>
      </c>
      <c r="B14">
        <v>18.3450901803607</v>
      </c>
    </row>
    <row r="15" spans="1:2" x14ac:dyDescent="0.25">
      <c r="A15">
        <v>1990</v>
      </c>
      <c r="B15">
        <v>29.965166964946999</v>
      </c>
    </row>
    <row r="16" spans="1:2" x14ac:dyDescent="0.25">
      <c r="A16">
        <v>1991</v>
      </c>
      <c r="B16">
        <v>30.220902821829299</v>
      </c>
    </row>
    <row r="17" spans="1:2" x14ac:dyDescent="0.25">
      <c r="A17">
        <v>1992</v>
      </c>
      <c r="B17">
        <v>23.828123951656899</v>
      </c>
    </row>
    <row r="18" spans="1:2" x14ac:dyDescent="0.25">
      <c r="A18">
        <v>1993</v>
      </c>
      <c r="B18">
        <v>25.4818384987543</v>
      </c>
    </row>
    <row r="19" spans="1:2" x14ac:dyDescent="0.25">
      <c r="A19">
        <v>1994</v>
      </c>
      <c r="B19">
        <v>36.912693972835498</v>
      </c>
    </row>
    <row r="20" spans="1:2" x14ac:dyDescent="0.25">
      <c r="A20">
        <v>1995</v>
      </c>
      <c r="B20">
        <v>33.470322260721801</v>
      </c>
    </row>
    <row r="21" spans="1:2" x14ac:dyDescent="0.25">
      <c r="A21">
        <v>1996</v>
      </c>
      <c r="B21">
        <v>30.791849183949399</v>
      </c>
    </row>
    <row r="22" spans="1:2" x14ac:dyDescent="0.25">
      <c r="A22">
        <v>1997</v>
      </c>
      <c r="B22">
        <v>37.289946631467998</v>
      </c>
    </row>
    <row r="23" spans="1:2" x14ac:dyDescent="0.25">
      <c r="A23">
        <v>1998</v>
      </c>
      <c r="B23">
        <v>41.610140866449697</v>
      </c>
    </row>
    <row r="24" spans="1:2" x14ac:dyDescent="0.25">
      <c r="A24">
        <v>1999</v>
      </c>
      <c r="B24">
        <v>41.339670934823502</v>
      </c>
    </row>
    <row r="25" spans="1:2" x14ac:dyDescent="0.25">
      <c r="A25">
        <v>2000</v>
      </c>
      <c r="B25">
        <v>39.684428999248901</v>
      </c>
    </row>
    <row r="26" spans="1:2" x14ac:dyDescent="0.25">
      <c r="A26">
        <v>2001</v>
      </c>
      <c r="B26">
        <v>36.921254254544799</v>
      </c>
    </row>
    <row r="27" spans="1:2" x14ac:dyDescent="0.25">
      <c r="A27">
        <v>2002</v>
      </c>
      <c r="B27">
        <v>34.3375466693956</v>
      </c>
    </row>
    <row r="28" spans="1:2" x14ac:dyDescent="0.25">
      <c r="A28">
        <v>2003</v>
      </c>
      <c r="B28">
        <v>31.379558608006199</v>
      </c>
    </row>
    <row r="29" spans="1:2" x14ac:dyDescent="0.25">
      <c r="A29">
        <v>2004</v>
      </c>
      <c r="B29">
        <v>35.730347381974397</v>
      </c>
    </row>
    <row r="30" spans="1:2" x14ac:dyDescent="0.25">
      <c r="A30">
        <v>2005</v>
      </c>
      <c r="B30">
        <v>38.522717693512803</v>
      </c>
    </row>
    <row r="31" spans="1:2" x14ac:dyDescent="0.25">
      <c r="A31">
        <v>2006</v>
      </c>
      <c r="B31">
        <v>31.624715987404599</v>
      </c>
    </row>
    <row r="32" spans="1:2" x14ac:dyDescent="0.25">
      <c r="A32">
        <v>2007</v>
      </c>
      <c r="B32">
        <v>40.863013240460099</v>
      </c>
    </row>
    <row r="33" spans="1:2" x14ac:dyDescent="0.25">
      <c r="A33">
        <v>2008</v>
      </c>
      <c r="B33">
        <v>34.134363502456999</v>
      </c>
    </row>
    <row r="34" spans="1:2" x14ac:dyDescent="0.25">
      <c r="A34">
        <v>2009</v>
      </c>
      <c r="B34">
        <v>36.573543455756401</v>
      </c>
    </row>
    <row r="35" spans="1:2" x14ac:dyDescent="0.25">
      <c r="A35">
        <v>2010</v>
      </c>
      <c r="B35">
        <v>33.604556370567899</v>
      </c>
    </row>
    <row r="36" spans="1:2" x14ac:dyDescent="0.25">
      <c r="A36">
        <v>2011</v>
      </c>
      <c r="B36">
        <v>35.747597180497998</v>
      </c>
    </row>
    <row r="37" spans="1:2" x14ac:dyDescent="0.25">
      <c r="A37">
        <v>2012</v>
      </c>
      <c r="B37">
        <v>39.285332144299304</v>
      </c>
    </row>
    <row r="38" spans="1:2" x14ac:dyDescent="0.25">
      <c r="A38">
        <v>2013</v>
      </c>
      <c r="B38">
        <v>38.384638255241804</v>
      </c>
    </row>
    <row r="39" spans="1:2" x14ac:dyDescent="0.25">
      <c r="A39">
        <v>2014</v>
      </c>
      <c r="B39">
        <v>43.201247419926901</v>
      </c>
    </row>
    <row r="40" spans="1:2" x14ac:dyDescent="0.25">
      <c r="A40">
        <v>2015</v>
      </c>
      <c r="B40">
        <v>44.692762009488</v>
      </c>
    </row>
    <row r="41" spans="1:2" x14ac:dyDescent="0.25">
      <c r="A41">
        <v>2016</v>
      </c>
      <c r="B41">
        <v>48.236104523974397</v>
      </c>
    </row>
    <row r="42" spans="1:2" x14ac:dyDescent="0.25">
      <c r="A42">
        <v>2017</v>
      </c>
      <c r="B42">
        <v>43.065493943214499</v>
      </c>
    </row>
    <row r="43" spans="1:2" x14ac:dyDescent="0.25">
      <c r="A43">
        <v>2018</v>
      </c>
      <c r="B43">
        <v>42.335622660599</v>
      </c>
    </row>
    <row r="44" spans="1:2" x14ac:dyDescent="0.25">
      <c r="A44">
        <v>2019</v>
      </c>
      <c r="B44">
        <v>44.136276818570003</v>
      </c>
    </row>
    <row r="45" spans="1:2" x14ac:dyDescent="0.25">
      <c r="A45">
        <v>2020</v>
      </c>
      <c r="B45">
        <v>46.992637636966499</v>
      </c>
    </row>
    <row r="46" spans="1:2" x14ac:dyDescent="0.25">
      <c r="A46">
        <v>2021</v>
      </c>
      <c r="B46">
        <v>40.8708327081523</v>
      </c>
    </row>
    <row r="47" spans="1:2" x14ac:dyDescent="0.25">
      <c r="A47">
        <v>2022</v>
      </c>
      <c r="B47">
        <v>45.916954153441303</v>
      </c>
    </row>
  </sheetData>
  <sortState xmlns:xlrd2="http://schemas.microsoft.com/office/spreadsheetml/2017/richdata2" ref="A2:B47">
    <sortCondition ref="A1:A4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D5FC-E513-4090-A656-09E19FCC740C}">
  <dimension ref="A1:B29"/>
  <sheetViews>
    <sheetView workbookViewId="0">
      <selection sqref="A1:B29"/>
    </sheetView>
  </sheetViews>
  <sheetFormatPr defaultRowHeight="15" x14ac:dyDescent="0.25"/>
  <sheetData>
    <row r="1" spans="1:2" x14ac:dyDescent="0.25">
      <c r="A1">
        <v>1948</v>
      </c>
      <c r="B1">
        <v>12</v>
      </c>
    </row>
    <row r="2" spans="1:2" x14ac:dyDescent="0.25">
      <c r="A2">
        <v>1949</v>
      </c>
      <c r="B2">
        <v>8.6999999999999993</v>
      </c>
    </row>
    <row r="3" spans="1:2" x14ac:dyDescent="0.25">
      <c r="A3">
        <v>1950</v>
      </c>
      <c r="B3">
        <v>9.5</v>
      </c>
    </row>
    <row r="4" spans="1:2" x14ac:dyDescent="0.25">
      <c r="A4">
        <v>1951</v>
      </c>
      <c r="B4">
        <v>9.6999999999999993</v>
      </c>
    </row>
    <row r="5" spans="1:2" x14ac:dyDescent="0.25">
      <c r="A5">
        <v>1952</v>
      </c>
      <c r="B5">
        <v>8</v>
      </c>
    </row>
    <row r="6" spans="1:2" x14ac:dyDescent="0.25">
      <c r="A6">
        <v>1953</v>
      </c>
      <c r="B6">
        <v>13</v>
      </c>
    </row>
    <row r="7" spans="1:2" x14ac:dyDescent="0.25">
      <c r="A7">
        <v>1954</v>
      </c>
      <c r="B7">
        <v>9.5</v>
      </c>
    </row>
    <row r="8" spans="1:2" x14ac:dyDescent="0.25">
      <c r="A8">
        <v>1955</v>
      </c>
      <c r="B8">
        <v>10</v>
      </c>
    </row>
    <row r="9" spans="1:2" x14ac:dyDescent="0.25">
      <c r="A9">
        <v>1956</v>
      </c>
      <c r="B9">
        <v>9.1999999999999993</v>
      </c>
    </row>
    <row r="10" spans="1:2" x14ac:dyDescent="0.25">
      <c r="A10">
        <v>1957</v>
      </c>
      <c r="B10">
        <v>16.2</v>
      </c>
    </row>
    <row r="11" spans="1:2" x14ac:dyDescent="0.25">
      <c r="A11">
        <v>1958</v>
      </c>
      <c r="B11">
        <v>8.6999999999999993</v>
      </c>
    </row>
    <row r="12" spans="1:2" x14ac:dyDescent="0.25">
      <c r="A12">
        <v>1959</v>
      </c>
      <c r="B12">
        <v>5.3</v>
      </c>
    </row>
    <row r="13" spans="1:2" x14ac:dyDescent="0.25">
      <c r="A13">
        <v>1960</v>
      </c>
      <c r="B13">
        <v>10</v>
      </c>
    </row>
    <row r="14" spans="1:2" x14ac:dyDescent="0.25">
      <c r="A14">
        <v>1961</v>
      </c>
      <c r="B14">
        <v>15</v>
      </c>
    </row>
    <row r="15" spans="1:2" x14ac:dyDescent="0.25">
      <c r="A15">
        <v>1962</v>
      </c>
      <c r="B15">
        <v>13.8</v>
      </c>
    </row>
    <row r="16" spans="1:2" x14ac:dyDescent="0.25">
      <c r="A16">
        <v>1963</v>
      </c>
      <c r="B16">
        <v>19.600000000000001</v>
      </c>
    </row>
    <row r="17" spans="1:2" x14ac:dyDescent="0.25">
      <c r="A17">
        <v>1964</v>
      </c>
      <c r="B17">
        <v>9.9</v>
      </c>
    </row>
    <row r="18" spans="1:2" x14ac:dyDescent="0.25">
      <c r="A18">
        <v>1965</v>
      </c>
      <c r="B18">
        <v>7.5</v>
      </c>
    </row>
    <row r="19" spans="1:2" x14ac:dyDescent="0.25">
      <c r="A19">
        <v>1966</v>
      </c>
      <c r="B19">
        <v>17</v>
      </c>
    </row>
    <row r="20" spans="1:2" x14ac:dyDescent="0.25">
      <c r="A20">
        <v>1967</v>
      </c>
      <c r="B20">
        <v>10</v>
      </c>
    </row>
    <row r="21" spans="1:2" x14ac:dyDescent="0.25">
      <c r="A21">
        <v>1968</v>
      </c>
      <c r="B21">
        <v>13.5</v>
      </c>
    </row>
    <row r="22" spans="1:2" x14ac:dyDescent="0.25">
      <c r="A22">
        <v>1969</v>
      </c>
      <c r="B22">
        <v>13</v>
      </c>
    </row>
    <row r="23" spans="1:2" x14ac:dyDescent="0.25">
      <c r="A23">
        <v>1970</v>
      </c>
      <c r="B23">
        <v>15</v>
      </c>
    </row>
    <row r="24" spans="1:2" x14ac:dyDescent="0.25">
      <c r="A24">
        <v>1971</v>
      </c>
      <c r="B24">
        <v>14</v>
      </c>
    </row>
    <row r="25" spans="1:2" x14ac:dyDescent="0.25">
      <c r="A25">
        <v>1972</v>
      </c>
      <c r="B25">
        <v>20</v>
      </c>
    </row>
    <row r="26" spans="1:2" x14ac:dyDescent="0.25">
      <c r="A26">
        <v>1973</v>
      </c>
      <c r="B26">
        <v>20</v>
      </c>
    </row>
    <row r="27" spans="1:2" x14ac:dyDescent="0.25">
      <c r="A27">
        <v>1974</v>
      </c>
      <c r="B27">
        <v>16</v>
      </c>
    </row>
    <row r="28" spans="1:2" x14ac:dyDescent="0.25">
      <c r="A28">
        <v>1975</v>
      </c>
    </row>
    <row r="29" spans="1:2" x14ac:dyDescent="0.25">
      <c r="A29">
        <v>1976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787361581DC4798C61F3895E9867A" ma:contentTypeVersion="15" ma:contentTypeDescription="Create a new document." ma:contentTypeScope="" ma:versionID="468a96f59bc3e69eba670bbf3505312d">
  <xsd:schema xmlns:xsd="http://www.w3.org/2001/XMLSchema" xmlns:xs="http://www.w3.org/2001/XMLSchema" xmlns:p="http://schemas.microsoft.com/office/2006/metadata/properties" xmlns:ns2="314a346c-0d7f-40ed-adf4-b22d76e87127" xmlns:ns3="e951b10f-e745-42df-ada8-3575aa80cb89" targetNamespace="http://schemas.microsoft.com/office/2006/metadata/properties" ma:root="true" ma:fieldsID="5aaf10c1eb26bfebb6a060ba690c4dae" ns2:_="" ns3:_="">
    <xsd:import namespace="314a346c-0d7f-40ed-adf4-b22d76e87127"/>
    <xsd:import namespace="e951b10f-e745-42df-ada8-3575aa80c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a346c-0d7f-40ed-adf4-b22d76e8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34ac827-6512-4b3b-a6f3-1de591b2a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1b10f-e745-42df-ada8-3575aa80cb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e3ad345-4547-4554-94f1-f941a2deb385}" ma:internalName="TaxCatchAll" ma:showField="CatchAllData" ma:web="e951b10f-e745-42df-ada8-3575aa80c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7BC1C-F8C5-45EF-A22F-1CBF0FEC7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B88B79-F07B-4A4F-840C-496E319BF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4a346c-0d7f-40ed-adf4-b22d76e87127"/>
    <ds:schemaRef ds:uri="e951b10f-e745-42df-ada8-3575aa80c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4a928d-0bc6-4f9f-9a09-5cab5160e018}" enabled="1" method="Standard" siteId="{83dae218-e36a-45c4-aa8b-72d7661fa15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Corn rr504 dry</vt:lpstr>
      <vt:lpstr>Corn rr508 dry</vt:lpstr>
      <vt:lpstr>Soy rr766 dry</vt:lpstr>
      <vt:lpstr>soy rr660 dry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Kawalski</dc:creator>
  <cp:lastModifiedBy>Petersen, Hans</cp:lastModifiedBy>
  <dcterms:created xsi:type="dcterms:W3CDTF">2024-01-29T20:18:53Z</dcterms:created>
  <dcterms:modified xsi:type="dcterms:W3CDTF">2024-03-27T15:51:57Z</dcterms:modified>
</cp:coreProperties>
</file>